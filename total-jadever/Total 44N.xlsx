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JafarShop\Scrapers\total-jadever\"/>
    </mc:Choice>
  </mc:AlternateContent>
  <xr:revisionPtr revIDLastSave="0" documentId="8_{1553C7A2-42F6-4E9F-81D7-26AFF781F3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N" sheetId="1" r:id="rId1"/>
  </sheets>
  <externalReferences>
    <externalReference r:id="rId2"/>
  </externalReferences>
  <definedNames>
    <definedName name="ta">[1]!Table1[#All]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tnhri3NAIL4JXFMQQGbyu69lwcNHg3jaobYE1eX6Ifg="/>
    </ext>
  </extLst>
</workbook>
</file>

<file path=xl/calcChain.xml><?xml version="1.0" encoding="utf-8"?>
<calcChain xmlns="http://schemas.openxmlformats.org/spreadsheetml/2006/main">
  <c r="I43" i="1" l="1"/>
  <c r="H43" i="1"/>
  <c r="C32" i="1"/>
  <c r="I30" i="1"/>
  <c r="H30" i="1"/>
  <c r="C30" i="1"/>
  <c r="I29" i="1"/>
  <c r="H29" i="1"/>
  <c r="I16" i="1"/>
  <c r="I2" i="1"/>
  <c r="H2" i="1"/>
  <c r="C2" i="1"/>
</calcChain>
</file>

<file path=xl/sharedStrings.xml><?xml version="1.0" encoding="utf-8"?>
<sst xmlns="http://schemas.openxmlformats.org/spreadsheetml/2006/main" count="363" uniqueCount="176">
  <si>
    <t>Item No.</t>
  </si>
  <si>
    <t>Picture</t>
  </si>
  <si>
    <t>Product name</t>
  </si>
  <si>
    <t>Description &amp; Features</t>
  </si>
  <si>
    <t>Unit</t>
  </si>
  <si>
    <t>Qty</t>
  </si>
  <si>
    <t>جملة</t>
  </si>
  <si>
    <t>مفرق</t>
  </si>
  <si>
    <t>BAR CODE</t>
  </si>
  <si>
    <t>TIDLI20668</t>
  </si>
  <si>
    <t/>
  </si>
  <si>
    <t>Compact Brushless Cordless Impact Drill</t>
  </si>
  <si>
    <r>
      <rPr>
        <b/>
        <sz val="11"/>
        <color theme="1"/>
        <rFont val="Calibri"/>
      </rPr>
      <t>Brushless motor
Voltage: 20V
No-load speed: 0-500/0-2000rpm
Max impact rate: 30000bpm
Max torque: 66Nm
Metal chuck
Chuck capacity: 13mm
Torque settings: 22+1+1
Mechanical 2-speed gear
Spindle lock function
Integrated LED work light</t>
    </r>
    <r>
      <rPr>
        <sz val="11"/>
        <color theme="1"/>
        <rFont val="Calibri"/>
      </rPr>
      <t xml:space="preserve">
LED battery power indicator
Include:
2 Pcs 2.0Ah battery pack(TFBLI20011)
1 Pcs charger(TFCLI2001)
Charge volts: 220-240V~50/60Hz
47 Pcs accessories
3 Pcs masonry drill bits
Packed by carrying case</t>
    </r>
  </si>
  <si>
    <t>PCS</t>
  </si>
  <si>
    <t>6923736766269</t>
  </si>
  <si>
    <t>TIWLI20105</t>
  </si>
  <si>
    <t>Total TIWLI20105 درل بوكس شحن 20 فولت 1050 نيوتن مع 2 بطارية 5 أمبير</t>
  </si>
  <si>
    <t>Cordless impact wrench</t>
  </si>
  <si>
    <r>
      <rPr>
        <b/>
        <sz val="11"/>
        <color theme="1"/>
        <rFont val="Calibri"/>
      </rPr>
      <t>Brushless motor
Voltage:20V
Square drive:3/4"
No-load speed: 0-1200/0-1600/0-2100rpm
Impact rate: 0-1800/0-2000/0-2200bpm
Fastening torque: 1050Nm
Nut-Busting torque: 1200Nm</t>
    </r>
    <r>
      <rPr>
        <sz val="11"/>
        <color theme="1"/>
        <rFont val="Calibri"/>
      </rPr>
      <t xml:space="preserve">
Integrated LED work light
Include:
5 Pcs deep sockets(24,27,30,32,33mm)
1 Pcs belt clip
2 Pcs 5.0Ah battery pack(TFBLI20531)
1 Pcs charger(TFCLI20411)
Charge volts:220-240V~50/60Hz 
Packed by carrying case</t>
    </r>
  </si>
  <si>
    <t>6932584807246</t>
  </si>
  <si>
    <t>TRHLI202482</t>
  </si>
  <si>
    <t>Total TRHLI202482 همر شحن 20 فولت 24 ملم مع 2 بطارية 4 أمبير وشاحن</t>
  </si>
  <si>
    <t>Cordless rotary hammer</t>
  </si>
  <si>
    <r>
      <rPr>
        <b/>
        <sz val="11"/>
        <color theme="1"/>
        <rFont val="Calibri"/>
      </rPr>
      <t>Brushless motor
Voltage:20V
No-load speed:0-1100rpm
Impact rate:0-4900bpm
Impact energy:2.4J
Max.drilling capacity:
 Concrete: 24mm
 Steel: 13mm
 Wood: 30mm
SDS plus chuck system</t>
    </r>
    <r>
      <rPr>
        <sz val="11"/>
        <color theme="1"/>
        <rFont val="Calibri"/>
      </rPr>
      <t xml:space="preserve">
Integrated LED work light
Include:
3 Pcs drills(6,8,10mm)
1 Pcs chisel
2 Pcs 4.0Ah battery pack(TFBLI20021)
1 Pcs charger(TFCLI20411)
Charge volts:220-240V~50/60Hz 
Packed by carrying case</t>
    </r>
  </si>
  <si>
    <t>6923736768041</t>
  </si>
  <si>
    <t>TRHLI262085</t>
  </si>
  <si>
    <t>Total TRHLI262085 همر شحن 20 فولت 26 ملم مع 2 بطارية 4 أمبير وشاحن</t>
  </si>
  <si>
    <r>
      <rPr>
        <b/>
        <sz val="11"/>
        <color theme="1"/>
        <rFont val="Calibri"/>
      </rPr>
      <t>Brushless motor
Voltage:20V
No-load speed:0-1100rpm
Impact rate:0-5000bpm
Impact energy:2.5J
Max.drilling capacity:
 Concrete: 26mm
 Steel: 13mm
 Wood: 30mm
SDS plus chuck system</t>
    </r>
    <r>
      <rPr>
        <sz val="11"/>
        <color theme="1"/>
        <rFont val="Calibri"/>
      </rPr>
      <t xml:space="preserve">
Integrated LED work light
Include:
3 Pcs drills(6,8,10mm)
1 Pcs chisel
2 Pcs 4.0Ah battery pack(TFBLI20021)
1 Pcs charger(TFCLI20411)
Charge volts:220-240V~50/60Hz 
Packed by carrying case</t>
    </r>
  </si>
  <si>
    <t>6937541237289</t>
  </si>
  <si>
    <t>TSGLI2004</t>
  </si>
  <si>
    <t>فرد رش دهان شحن20 فولت بدون بطاريات Total TSGLI2004</t>
  </si>
  <si>
    <t>Cordless spray gun</t>
  </si>
  <si>
    <r>
      <rPr>
        <b/>
        <sz val="11"/>
        <color theme="1"/>
        <rFont val="Calibri"/>
      </rPr>
      <t>Voltage: 20V
Spraying pressure: 0.1-0.2Bar
Max.flow: 800ml/min
Max.viscosity: 120DIN-s
Container capacity: 1000ml
Adjustable spray amplitude</t>
    </r>
    <r>
      <rPr>
        <sz val="11"/>
        <color theme="1"/>
        <rFont val="Calibri"/>
      </rPr>
      <t xml:space="preserve">
Include:
1 Pcs dust blower nozzle
1 Pcs viscosity measuring cup
1 Pcs nozzle cleaning needle
2 Pcs copper nozzle(1.5/2.5mm)
Battery and charger sold separately
Packed by color box</t>
    </r>
  </si>
  <si>
    <t>6932584808854</t>
  </si>
  <si>
    <t>TSPLI20162</t>
  </si>
  <si>
    <t>Cordless sprayer</t>
  </si>
  <si>
    <r>
      <rPr>
        <b/>
        <sz val="11"/>
        <color theme="1"/>
        <rFont val="Calibri"/>
      </rPr>
      <t>16L Battery Sprayer 
Voltage:20V  
Pressure: 5BAR
Two-speed control
Include:
1 Pcs 2.0Ah battery pack(TFBLI20011)
1 Pcs fast charger(TFCLI2001)</t>
    </r>
    <r>
      <rPr>
        <sz val="11"/>
        <color theme="1"/>
        <rFont val="Calibri"/>
      </rPr>
      <t xml:space="preserve">
Material: PE for tank, Other plastic are in PP, all the sealings/NBR, T trigger with stainless steel lance
Flow: 1.7L/min
Spray Distance: ＞5m
net weight: 3.9kg
packed by color box</t>
    </r>
  </si>
  <si>
    <t>6923736765019</t>
  </si>
  <si>
    <t>TDLI12206</t>
  </si>
  <si>
    <t>Cordless drill</t>
  </si>
  <si>
    <r>
      <rPr>
        <b/>
        <sz val="11"/>
        <color theme="1"/>
        <rFont val="Calibri"/>
      </rPr>
      <t>Voltage: 12V
No-load speed: 0-400/0-1500rpm
Max torque: 20Nm
Plastic chuck
Chuck capacity: 0.8-10mm
Torque settings: 15+1
Mechanical 2-speed gear
Integrated LED work light</t>
    </r>
    <r>
      <rPr>
        <sz val="11"/>
        <color theme="1"/>
        <rFont val="Calibri"/>
      </rPr>
      <t xml:space="preserve">
Include:
1 Pcs Cr-V 65mm bit
2 Pcs 1.5Ah battery pack(TBLI12153)
Battery charging port: USB type-C
Charger sold separately
Packed by carrying case</t>
    </r>
  </si>
  <si>
    <t>6932584805327</t>
  </si>
  <si>
    <t>TG1071366</t>
  </si>
  <si>
    <t>Impact drill</t>
  </si>
  <si>
    <r>
      <rPr>
        <b/>
        <sz val="11"/>
        <color theme="1"/>
        <rFont val="Calibri"/>
      </rPr>
      <t>Voltage: 220-240V~50/60Hz
Input power: 710W</t>
    </r>
    <r>
      <rPr>
        <sz val="11"/>
        <color theme="1"/>
        <rFont val="Calibri"/>
      </rPr>
      <t xml:space="preserve">
No-load speed: 0-3000rpm
Max.drilling capacity: 13mm
Variable speed control
Forward/Reverse switch
Hammer function
Packed by color box</t>
    </r>
  </si>
  <si>
    <t>6923736767648</t>
  </si>
  <si>
    <t>TG10912556</t>
  </si>
  <si>
    <t>Angle grinder</t>
  </si>
  <si>
    <r>
      <rPr>
        <b/>
        <sz val="11"/>
        <color theme="1"/>
        <rFont val="Calibri"/>
      </rPr>
      <t>Voltage:220-240V~50/60Hz
Input power:900W</t>
    </r>
    <r>
      <rPr>
        <sz val="11"/>
        <color theme="1"/>
        <rFont val="Calibri"/>
      </rPr>
      <t xml:space="preserve">
No-load speed:12000rpm
Disc diameter:125mm
Spindle thread:M14
With 1pcs auxiliary handle
Disc not included
Packed by color box</t>
    </r>
  </si>
  <si>
    <t>6941639818427</t>
  </si>
  <si>
    <t>TG12223026</t>
  </si>
  <si>
    <r>
      <rPr>
        <b/>
        <sz val="11"/>
        <color theme="1"/>
        <rFont val="Calibri"/>
      </rPr>
      <t>Voltage:220-240V~50/60Hz
Input power:2200W</t>
    </r>
    <r>
      <rPr>
        <sz val="11"/>
        <color theme="1"/>
        <rFont val="Calibri"/>
      </rPr>
      <t xml:space="preserve">
No-load speed:6600rpm
Disc diameter:230mm
Spindle thread:M14
With 1pcs auxiliary handle
With 1set extra carbon brushes
Disc not included
Packed by color box</t>
    </r>
  </si>
  <si>
    <t>6925582197556</t>
  </si>
  <si>
    <t>TH306236</t>
  </si>
  <si>
    <t>Rotary hammer</t>
  </si>
  <si>
    <r>
      <rPr>
        <b/>
        <sz val="11"/>
        <color theme="1"/>
        <rFont val="Calibri"/>
      </rPr>
      <t>Voltage:220-240V~50/60Hz
Input power:650W</t>
    </r>
    <r>
      <rPr>
        <sz val="11"/>
        <color theme="1"/>
        <rFont val="Calibri"/>
      </rPr>
      <t xml:space="preserve">
No-load speed:0-1700rpm
Impact rate:0-5500bpm
Impact energy:1.7J
Max.drilling capacity:
 Concrete:22mm
 Steel:13mm
 Wood:25mm
SDS plus chuck system
With 3 SDS-PLUS drills
With 1set extra carbon brushes
Packed by BMC</t>
    </r>
  </si>
  <si>
    <t>6941639849728</t>
  </si>
  <si>
    <t>TH309288</t>
  </si>
  <si>
    <r>
      <rPr>
        <b/>
        <sz val="11"/>
        <color theme="1"/>
        <rFont val="Calibri"/>
      </rPr>
      <t>Voltage:220-240V~50/60Hz
Input power:950W</t>
    </r>
    <r>
      <rPr>
        <sz val="11"/>
        <color theme="1"/>
        <rFont val="Calibri"/>
      </rPr>
      <t xml:space="preserve">
No-load speed:0-1050rpm
Impact rate:0-4670bpm
Impact energy:2.5J
Max.drilling capacity:
 Concrete:28mm
 Steel:13mm
 Wood:30mm
SDS plus chuck system
With 3 drills and 2 chisels
With 1set extra carbon brushes
Packed by BMC</t>
    </r>
  </si>
  <si>
    <t>6925582158601</t>
  </si>
  <si>
    <t>TH1153216</t>
  </si>
  <si>
    <r>
      <rPr>
        <b/>
        <sz val="11"/>
        <color theme="1"/>
        <rFont val="Calibri"/>
      </rPr>
      <t>Voltage:220-240V~50/60Hz
Input power:1500W</t>
    </r>
    <r>
      <rPr>
        <sz val="11"/>
        <color theme="1"/>
        <rFont val="Calibri"/>
      </rPr>
      <t xml:space="preserve">
No-load speed:850rpm
Impact rate:4400bpm
Impact energy:5.5J
Max.drilling capacity:
 Concrete:32mm
 Steel:13mm
 Wood:40mm
SDS plus chuck system
Anti-vibration system
With 3 drills and 2 chisels
With 1set extra carbon brushes
Packed by BMC</t>
    </r>
  </si>
  <si>
    <t>6925582189803</t>
  </si>
  <si>
    <t>TCS1120508</t>
  </si>
  <si>
    <t>Air compressor</t>
  </si>
  <si>
    <r>
      <rPr>
        <b/>
        <sz val="11"/>
        <color theme="1"/>
        <rFont val="Calibri"/>
      </rPr>
      <t>Voltage:220-240V~50Hz
Input power:1200W （1.6HP）
Tank:50L(13.2Gal)
Oil free system
Noise: 75db</t>
    </r>
    <r>
      <rPr>
        <sz val="11"/>
        <color theme="1"/>
        <rFont val="Calibri"/>
      </rPr>
      <t xml:space="preserve">
Copper wire motor
No-load speed:2850rpm
Operation pressure:max.8bar
Packed by carton box</t>
    </r>
  </si>
  <si>
    <t>6941639830597</t>
  </si>
  <si>
    <t>TWP13706</t>
  </si>
  <si>
    <t>Water pump</t>
  </si>
  <si>
    <r>
      <rPr>
        <b/>
        <sz val="11"/>
        <color theme="1"/>
        <rFont val="Calibri"/>
      </rPr>
      <t>Peripheral Pump
Voltage:220-240V~50Hz
Rated power:370W(0.5HP)
Max.head:35m
Max.flow:35L/min</t>
    </r>
    <r>
      <rPr>
        <sz val="11"/>
        <color theme="1"/>
        <rFont val="Calibri"/>
      </rPr>
      <t xml:space="preserve">
Max.suction:8m
Pipe diameter:1"x1"
Copper wire motor
Stainless steel welding shaft : 304+45#
Electrophoresis pump body
Brass impeller
0.3m length cable
Packed by color box</t>
    </r>
  </si>
  <si>
    <t>6925582184440</t>
  </si>
  <si>
    <t>TWP17506</t>
  </si>
  <si>
    <r>
      <rPr>
        <b/>
        <sz val="11"/>
        <color theme="1"/>
        <rFont val="Calibri"/>
      </rPr>
      <t>Peripheral Pump
Voltage:220-240V~50Hz
Rated power:750W(1.0HP)
Max.head:52m
Max.flow:50L/min</t>
    </r>
    <r>
      <rPr>
        <sz val="11"/>
        <color theme="1"/>
        <rFont val="Calibri"/>
      </rPr>
      <t xml:space="preserve">
Max.suction:8m
Pipe diameter:1"x1"
Copper wire motor
Stainless steel welding shaft : 304+45#
Electrophoresis pump body
Brass impeller
0.3m length cable
Packed by carton box</t>
    </r>
  </si>
  <si>
    <t>6925582189476</t>
  </si>
  <si>
    <t>TWP93706</t>
  </si>
  <si>
    <r>
      <rPr>
        <b/>
        <sz val="11"/>
        <color theme="1"/>
        <rFont val="Calibri"/>
      </rPr>
      <t>Automatic self-priming peripheral pump
Voltage:220-240V~50Hz
Rated power:370W(0.5HP)
Max.head:32m
Max.flow:35L/min</t>
    </r>
    <r>
      <rPr>
        <sz val="11"/>
        <color theme="1"/>
        <rFont val="Calibri"/>
      </rPr>
      <t xml:space="preserve">
Max.suction:8M
Pipe diameter:1"x1"
Copper wire motor
Stainless steel welding shaft : 304+45#
Electrophoresis pump body
Brass impeller
0.3m length cable
With 1pcs pressure switch
With 1pcs 2L pressure tank
Packed by color box</t>
    </r>
  </si>
  <si>
    <t>6941639824923</t>
  </si>
  <si>
    <t>TWP37506</t>
  </si>
  <si>
    <r>
      <rPr>
        <b/>
        <sz val="11"/>
        <color theme="1"/>
        <rFont val="Calibri"/>
      </rPr>
      <t>Self-priming Jet Pump
Voltage:220-240V~50Hz
Rated power:750W(1.0HP)
Max.head:51m
Max. flow:55L/min</t>
    </r>
    <r>
      <rPr>
        <sz val="11"/>
        <color theme="1"/>
        <rFont val="Calibri"/>
      </rPr>
      <t xml:space="preserve">
Max.suction:9m
Pipe diameter:1"x1"
Copper wire motor
Stainless steel welding shaft : 304+45#
Electrophoresis pump body
Stainless steel impeller
0.3m length cable
Packed by carton box</t>
    </r>
  </si>
  <si>
    <t>6925582188721</t>
  </si>
  <si>
    <t>TGT11226</t>
  </si>
  <si>
    <t>High pressure washer</t>
  </si>
  <si>
    <r>
      <rPr>
        <b/>
        <sz val="11"/>
        <color theme="1"/>
        <rFont val="Calibri"/>
      </rPr>
      <t>Voltage: 220-240V~50Hz
Copper wire induction motor
Input power:2000W 
Max Pressure:150Bar (2200PSI)
Flow rate:6.0L/min
Auto stop system</t>
    </r>
    <r>
      <rPr>
        <sz val="11"/>
        <color theme="1"/>
        <rFont val="Calibri"/>
      </rPr>
      <t xml:space="preserve">
1pcs soap bottle
1 set water spray gun(TGTSG026)
5m high pressure hose(TGTHPH526)
Packed by color box</t>
    </r>
  </si>
  <si>
    <t>6925582186765</t>
  </si>
  <si>
    <t>TAC2211155</t>
  </si>
  <si>
    <t>Abrasive metal cutting disc set</t>
  </si>
  <si>
    <r>
      <rPr>
        <b/>
        <sz val="11"/>
        <color theme="1"/>
        <rFont val="Calibri"/>
      </rPr>
      <t>10Pcs/set
115mm(4-1/2")X1.2mm (3/64")X22.2mm(7/8")
Flat centre
Cutting disc for metal and inox</t>
    </r>
    <r>
      <rPr>
        <sz val="11"/>
        <color theme="1"/>
        <rFont val="Calibri"/>
      </rPr>
      <t xml:space="preserve">
Packed by metal box</t>
    </r>
  </si>
  <si>
    <t>SET</t>
  </si>
  <si>
    <t>6925582181319</t>
  </si>
  <si>
    <t>TAC2212301HA</t>
  </si>
  <si>
    <t>Abrasive metal cutting disc</t>
  </si>
  <si>
    <r>
      <rPr>
        <b/>
        <sz val="11"/>
        <color theme="1"/>
        <rFont val="Calibri"/>
      </rPr>
      <t>230mm(9")X3.0mm(1/8")X22.2mm(7/8")
25pcs/color box</t>
    </r>
    <r>
      <rPr>
        <sz val="11"/>
        <color theme="1"/>
        <rFont val="Calibri"/>
      </rPr>
      <t xml:space="preserve">
Depressed centre
Cutting disc for metal and  inox
Packed by label</t>
    </r>
  </si>
  <si>
    <t>6925582194562</t>
  </si>
  <si>
    <t>TAC231723</t>
  </si>
  <si>
    <t>TCT saw blade</t>
  </si>
  <si>
    <r>
      <rPr>
        <b/>
        <sz val="11"/>
        <color theme="1"/>
        <rFont val="Calibri"/>
      </rPr>
      <t>254mm(10")
60T,arbor:30mm
16mm and 25.4mm ring
Wood cutting</t>
    </r>
    <r>
      <rPr>
        <sz val="11"/>
        <color theme="1"/>
        <rFont val="Calibri"/>
      </rPr>
      <t xml:space="preserve">
Packed by double blister</t>
    </r>
  </si>
  <si>
    <t>6925582176087</t>
  </si>
  <si>
    <t>TAC32041</t>
  </si>
  <si>
    <t>Wire cup brush</t>
  </si>
  <si>
    <r>
      <rPr>
        <b/>
        <sz val="11"/>
        <color theme="1"/>
        <rFont val="Calibri"/>
      </rPr>
      <t>Dia: 100mm, 4"
Thread: M14x2
Wire dia: 0.5mm
Wire length: 30mm
RPM: 8500r/min</t>
    </r>
    <r>
      <rPr>
        <sz val="11"/>
        <color theme="1"/>
        <rFont val="Calibri"/>
      </rPr>
      <t xml:space="preserve">
Apply on: roughening, descaling/paint stripping, weld seams
Suitable for: Steel, Cast steel
Packed by double blister</t>
    </r>
  </si>
  <si>
    <t>6925582173161</t>
  </si>
  <si>
    <t>TAC331160</t>
  </si>
  <si>
    <t>Mix paddle</t>
  </si>
  <si>
    <r>
      <rPr>
        <b/>
        <sz val="11"/>
        <color theme="1"/>
        <rFont val="Calibri"/>
      </rPr>
      <t>Diameter:160mm
Length:600mm</t>
    </r>
    <r>
      <rPr>
        <sz val="11"/>
        <color theme="1"/>
        <rFont val="Calibri"/>
      </rPr>
      <t xml:space="preserve">
Tool fitting:M14x2
Mixing from top down
Packed by paper card</t>
    </r>
  </si>
  <si>
    <t>6925582178012</t>
  </si>
  <si>
    <t>THT170806</t>
  </si>
  <si>
    <t>Pipe wrench</t>
  </si>
  <si>
    <r>
      <rPr>
        <b/>
        <sz val="11"/>
        <color theme="1"/>
        <rFont val="Calibri"/>
      </rPr>
      <t>Size:8"(200mm)
Max clamping diameter:27mm
Mobile jaw  material:cr-mo</t>
    </r>
    <r>
      <rPr>
        <sz val="11"/>
        <color theme="1"/>
        <rFont val="Calibri"/>
      </rPr>
      <t xml:space="preserve">
Inactivate treatment
Body material:ductile cast iron
Black finish and polish
Solid rivet
Packed by paper card</t>
    </r>
  </si>
  <si>
    <t>6925582182965</t>
  </si>
  <si>
    <t>THT171206</t>
  </si>
  <si>
    <r>
      <rPr>
        <b/>
        <sz val="11"/>
        <color theme="1"/>
        <rFont val="Calibri"/>
      </rPr>
      <t>Size:12" (300mm)
Max clamping diameter:42mm
Mobile jaw  material:cr-mo</t>
    </r>
    <r>
      <rPr>
        <sz val="11"/>
        <color theme="1"/>
        <rFont val="Calibri"/>
      </rPr>
      <t xml:space="preserve">
Inactivate treatment
Body material:ductile cast iron
Black finish and polish
Solid rivet
Packed by paper card</t>
    </r>
  </si>
  <si>
    <t>6925582181944</t>
  </si>
  <si>
    <t>THT171366</t>
  </si>
  <si>
    <r>
      <rPr>
        <b/>
        <sz val="11"/>
        <color theme="1"/>
        <rFont val="Calibri"/>
      </rPr>
      <t>Size:36" 
Max clamping diameter:85mm
Mobile jaw  material:cr-mo</t>
    </r>
    <r>
      <rPr>
        <sz val="11"/>
        <color theme="1"/>
        <rFont val="Calibri"/>
      </rPr>
      <t xml:space="preserve">
Inactivate treatment
Body material:ductile cast iron
Black finish and polish
Solid rivet
Packed by paper card</t>
    </r>
  </si>
  <si>
    <t>6925582183238</t>
  </si>
  <si>
    <t>THT53321</t>
  </si>
  <si>
    <t>Pipe cutter</t>
  </si>
  <si>
    <r>
      <rPr>
        <b/>
        <sz val="11"/>
        <color theme="1"/>
        <rFont val="Calibri"/>
      </rPr>
      <t>Copper and aluminum pipe cutter 
Cutting diameter:3-32mm</t>
    </r>
    <r>
      <rPr>
        <sz val="11"/>
        <color theme="1"/>
        <rFont val="Calibri"/>
      </rPr>
      <t xml:space="preserve">
With high quality blade and aluminum knob
Packed by sliding card</t>
    </r>
  </si>
  <si>
    <t>6925582174427</t>
  </si>
  <si>
    <t>TPBX0172</t>
  </si>
  <si>
    <t>17" Plastic tool box</t>
  </si>
  <si>
    <r>
      <rPr>
        <b/>
        <sz val="11"/>
        <color theme="1"/>
        <rFont val="Calibri"/>
      </rPr>
      <t>17" Plastic Tool Box
Size : 436mm(17")*220mm(8.7")*205mm(8")
Material :PP
weight :1430g
Max Load  :15KG
Metal buckle</t>
    </r>
    <r>
      <rPr>
        <sz val="11"/>
        <color theme="1"/>
        <rFont val="Calibri"/>
      </rPr>
      <t xml:space="preserve">
High-strength Handle
Upper cover with three storage areas
Upper cover with scale function
Contains 1Pcs plastic tray
Packed  by lable</t>
    </r>
  </si>
  <si>
    <t>6941639848707</t>
  </si>
  <si>
    <t>THRRTB2712</t>
  </si>
  <si>
    <t>Total THRRTB2712 شنطة عدة 27 انش مع عجال</t>
  </si>
  <si>
    <t>Wheeled tool bag</t>
  </si>
  <si>
    <r>
      <rPr>
        <b/>
        <sz val="11"/>
        <color theme="1"/>
        <rFont val="Calibri"/>
      </rPr>
      <t>Size: 27"
Material: 1680D polyester
Max load: 25kg
With Wheeled Telescopic pull handle
Size(L*W*H):68.5*29.5*32cm</t>
    </r>
    <r>
      <rPr>
        <sz val="11"/>
        <color theme="1"/>
        <rFont val="Calibri"/>
      </rPr>
      <t xml:space="preserve">
With 6 Pcs external pockets and multiple internal
Rigid frame for easy opening and access 
Packed by paper card</t>
    </r>
  </si>
  <si>
    <t>6932584803064</t>
  </si>
  <si>
    <t>THT20409</t>
  </si>
  <si>
    <t>Caulking gun</t>
  </si>
  <si>
    <r>
      <rPr>
        <b/>
        <sz val="11"/>
        <color theme="1"/>
        <rFont val="Calibri"/>
      </rPr>
      <t>9" caulking gun
Thickness:1.0mm</t>
    </r>
    <r>
      <rPr>
        <sz val="11"/>
        <color theme="1"/>
        <rFont val="Calibri"/>
      </rPr>
      <t xml:space="preserve">
Length: 230mm
Diameter:55mm
Iron shank with teeth
With cutting function
Packed by label</t>
    </r>
  </si>
  <si>
    <t>6925582174854</t>
  </si>
  <si>
    <t>THT21509</t>
  </si>
  <si>
    <r>
      <rPr>
        <b/>
        <sz val="11"/>
        <color theme="1"/>
        <rFont val="Calibri"/>
      </rPr>
      <t>9" caulking gun
Strong aluminum handle 
With rotary function</t>
    </r>
    <r>
      <rPr>
        <sz val="11"/>
        <color theme="1"/>
        <rFont val="Calibri"/>
      </rPr>
      <t xml:space="preserve">
Thickness:1.8mm 
Length: 230mm 
Diameter:55mm
Smooth rod:8.0mm
Packed by paper card</t>
    </r>
  </si>
  <si>
    <t>6925582170801</t>
  </si>
  <si>
    <t>THT84031</t>
  </si>
  <si>
    <t>Paint brush</t>
  </si>
  <si>
    <r>
      <rPr>
        <b/>
        <sz val="11"/>
        <color theme="1"/>
        <rFont val="Calibri"/>
      </rPr>
      <t>Size:3"(75mm)</t>
    </r>
    <r>
      <rPr>
        <sz val="11"/>
        <color theme="1"/>
        <rFont val="Calibri"/>
      </rPr>
      <t xml:space="preserve">
Length: 57mm
Thickness:16mm 
Wooden handle
Packed by plastic bag</t>
    </r>
  </si>
  <si>
    <t>6925582168822</t>
  </si>
  <si>
    <t>TESA31001</t>
  </si>
  <si>
    <t>Electronic scale</t>
  </si>
  <si>
    <r>
      <rPr>
        <b/>
        <sz val="11"/>
        <color theme="1"/>
        <rFont val="Calibri"/>
      </rPr>
      <t>Max. weight:100kg
With 20g graduation</t>
    </r>
    <r>
      <rPr>
        <sz val="11"/>
        <color theme="1"/>
        <rFont val="Calibri"/>
      </rPr>
      <t xml:space="preserve">
Display:LED screen
Table size:300*400mm
Charging voltage:220-240V  50/60Hz
Packed by carton box</t>
    </r>
  </si>
  <si>
    <t>6925582155112</t>
  </si>
  <si>
    <t>TESA33001</t>
  </si>
  <si>
    <r>
      <rPr>
        <b/>
        <sz val="11"/>
        <color theme="1"/>
        <rFont val="Calibri"/>
      </rPr>
      <t>Max. weight:300kg
With 50g graduation</t>
    </r>
    <r>
      <rPr>
        <sz val="11"/>
        <color theme="1"/>
        <rFont val="Calibri"/>
      </rPr>
      <t xml:space="preserve">
Display:LED screen
Table size:400*500mm
Charging voltage:220-240V  50/60Hz
Packed by carton box</t>
    </r>
  </si>
  <si>
    <t>6925582155129</t>
  </si>
  <si>
    <t>TSP12102</t>
  </si>
  <si>
    <t>Nitrile gloves</t>
  </si>
  <si>
    <r>
      <rPr>
        <b/>
        <sz val="11"/>
        <color theme="1"/>
        <rFont val="Calibri"/>
      </rPr>
      <t>HAND PROTECTION:Use for Oil assembly operation
Size:XL
Liner Material:Polyester
Coating material/Finish: Nitrile
Gauge:13
Protection level:4121X
Nitrile coated palm, smooth and rough-texture palm finish.
12pairs/paper</t>
    </r>
    <r>
      <rPr>
        <sz val="11"/>
        <color theme="1"/>
        <rFont val="Calibri"/>
      </rPr>
      <t xml:space="preserve">
Packed by poly bag</t>
    </r>
  </si>
  <si>
    <t>PAIR</t>
  </si>
  <si>
    <t>6941639888482</t>
  </si>
  <si>
    <t>TSP13103</t>
  </si>
  <si>
    <t>Latex gloves</t>
  </si>
  <si>
    <r>
      <rPr>
        <b/>
        <sz val="11"/>
        <color theme="1"/>
        <rFont val="Calibri"/>
      </rPr>
      <t>HAND PROTECTION:Use for Wood processing, horticulture
Size:XL
Liner Material:Polyester
Coating material/Finish: Latex 
Gauge:13
Protection level:2132X
Cotton/polyester seamless knitted shell. 
Textured palm dip for extra grip and durability. 
12pairs/paper</t>
    </r>
    <r>
      <rPr>
        <sz val="11"/>
        <color theme="1"/>
        <rFont val="Calibri"/>
      </rPr>
      <t xml:space="preserve">
Packed by poly bag</t>
    </r>
  </si>
  <si>
    <t>6941639888529</t>
  </si>
  <si>
    <t>THSPP30502</t>
  </si>
  <si>
    <t>Pressure sprayer</t>
  </si>
  <si>
    <r>
      <rPr>
        <b/>
        <sz val="11"/>
        <color theme="1"/>
        <rFont val="Calibri"/>
      </rPr>
      <t>5L
Safety pressure release valve</t>
    </r>
    <r>
      <rPr>
        <sz val="11"/>
        <color theme="1"/>
        <rFont val="Calibri"/>
      </rPr>
      <t xml:space="preserve">
Handy carry strap
Strong Aluminum pump lever
Pressure:2.5BAR
1.2m length flexible hose
Stainless lance and plastic nozzle
ON/OFF trigger with trigger lock
Adjustable sprayer pattern mist to stream
Packed by color box</t>
    </r>
  </si>
  <si>
    <t>6941639880936</t>
  </si>
  <si>
    <t>THHCS05122</t>
  </si>
  <si>
    <t>5 Piece twist nozzle set</t>
  </si>
  <si>
    <r>
      <rPr>
        <b/>
        <sz val="11"/>
        <color theme="1"/>
        <rFont val="Calibri"/>
      </rPr>
      <t>5 pcs Twist Nozzle set</t>
    </r>
    <r>
      <rPr>
        <sz val="11"/>
        <color theme="1"/>
        <rFont val="Calibri"/>
      </rPr>
      <t xml:space="preserve">
With 1pcs 1/2" Plastic Hose Quick Connector with Water Stop
With 1pcs 1/2" Plastic Hose Quick Connector
With 1pcs  3/4" TAP ADAPTOR AND 1/2"-3/4" REDUCER
With 1pcs 5" Snap-in Twist Nozzle
Packed by paper hanger</t>
    </r>
  </si>
  <si>
    <t>6925582195170</t>
  </si>
  <si>
    <t>THHR40122</t>
  </si>
  <si>
    <t>Hose reel</t>
  </si>
  <si>
    <r>
      <rPr>
        <b/>
        <sz val="11"/>
        <color theme="1"/>
        <rFont val="Calibri"/>
      </rPr>
      <t>The maximum can be wrapped around 1/2" water pipe 40 meters
Foldable handle for easy storage
Aluminum tube bracket, can be hung on the wall
Supplied fully assembled</t>
    </r>
    <r>
      <rPr>
        <sz val="11"/>
        <color theme="1"/>
        <rFont val="Calibri"/>
      </rPr>
      <t xml:space="preserve">
Lengthened and enlarged handle,Anti-pinch design
Thick brackets, large-capacity inner, using water pipes, making messy water pipes neat and tidy, easy to use and store
Meterial：PP、Aluminum
Packed by color box</t>
    </r>
  </si>
  <si>
    <t>6941639889908</t>
  </si>
  <si>
    <t>THHR20124</t>
  </si>
  <si>
    <t>Hose reel set</t>
  </si>
  <si>
    <r>
      <rPr>
        <b/>
        <sz val="11"/>
        <color theme="1"/>
        <rFont val="Calibri"/>
      </rPr>
      <t>Hose reel set
Equipped with 1pcs 20Mx1/2" 3-ply construction PVC hose
2pcs  1/2" plastic hose quick connector with water stop
2pcs  1/2" plastic hose quick connector
1pcs  3/4" tap adaptor and 1/2"-3/4" reducer
1pcs  5" snap-in twist nozzle</t>
    </r>
    <r>
      <rPr>
        <sz val="11"/>
        <color theme="1"/>
        <rFont val="Calibri"/>
      </rPr>
      <t xml:space="preserve">
Foldable handle for easy storage
Aluminum tube bracket, can be hung on the wall
Lengthened and enlarged handle,Anti-pinch design
Thick brackets, large-capacity inner, using water pipes, making messy water pipes neat and tidy, easy to use and store
Meterial: PP/Aluminum
Packed by color box</t>
    </r>
  </si>
  <si>
    <t>6932584809608</t>
  </si>
  <si>
    <t>THLAD09061</t>
  </si>
  <si>
    <t>Steel ladder</t>
  </si>
  <si>
    <r>
      <rPr>
        <b/>
        <sz val="11"/>
        <color theme="1"/>
        <rFont val="Calibri"/>
      </rPr>
      <t>Material:steel,6Steps
Step size:380*260mm
Open Size:1225*510*1705mm
Folding Size:505*140*1935mm
Thickness of tube:0.9mm</t>
    </r>
    <r>
      <rPr>
        <sz val="11"/>
        <color theme="1"/>
        <rFont val="Calibri"/>
      </rPr>
      <t xml:space="preserve">
Max.Load:150kg
Packed by carton box</t>
    </r>
  </si>
  <si>
    <t>6925582186284</t>
  </si>
  <si>
    <t>#REF!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</si>
</sst>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8" x14ac:knownFonts="1">
    <font>
      <sz val="11"/>
      <color theme="1"/>
      <name val="Aptos Narrow"/>
      <scheme val="minor"/>
    </font>
    <font>
      <sz val="11"/>
      <color theme="1"/>
      <name val="Aptos Narrow"/>
    </font>
    <font>
      <b/>
      <i/>
      <sz val="10"/>
      <color theme="1"/>
      <name val="Verdana"/>
    </font>
    <font>
      <sz val="10"/>
      <color theme="1"/>
      <name val="Verdana"/>
    </font>
    <font>
      <b/>
      <sz val="11"/>
      <color theme="1"/>
      <name val="Calibri"/>
    </font>
    <font>
      <sz val="11"/>
      <color rgb="FF000000"/>
      <name val="Quattrocento Sans"/>
    </font>
    <font>
      <sz val="10"/>
      <color rgb="FFFF0000"/>
      <name val="Verdana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9" Type="http://schemas.openxmlformats.org/officeDocument/2006/relationships/image" Target="../media/image39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42" Type="http://schemas.openxmlformats.org/officeDocument/2006/relationships/image" Target="../media/image42.jpg"/><Relationship Id="rId7" Type="http://schemas.openxmlformats.org/officeDocument/2006/relationships/image" Target="../media/image7.jpg"/><Relationship Id="rId2" Type="http://schemas.openxmlformats.org/officeDocument/2006/relationships/image" Target="../media/image2.pn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41" Type="http://schemas.openxmlformats.org/officeDocument/2006/relationships/image" Target="../media/image41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8" Type="http://schemas.openxmlformats.org/officeDocument/2006/relationships/image" Target="../media/image8.jpg"/><Relationship Id="rId3" Type="http://schemas.openxmlformats.org/officeDocument/2006/relationships/image" Target="../media/image3.pn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104775</xdr:rowOff>
    </xdr:from>
    <xdr:ext cx="1971675" cy="2324100"/>
    <xdr:pic>
      <xdr:nvPicPr>
        <xdr:cNvPr id="2" name="image7.jpg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</xdr:row>
      <xdr:rowOff>619125</xdr:rowOff>
    </xdr:from>
    <xdr:ext cx="838200" cy="552450"/>
    <xdr:pic>
      <xdr:nvPicPr>
        <xdr:cNvPr id="3" name="image8.png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1514475</xdr:rowOff>
    </xdr:from>
    <xdr:ext cx="638175" cy="171450"/>
    <xdr:pic>
      <xdr:nvPicPr>
        <xdr:cNvPr id="4" name="image1.png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2</xdr:row>
      <xdr:rowOff>85725</xdr:rowOff>
    </xdr:from>
    <xdr:ext cx="1971675" cy="1990725"/>
    <xdr:pic>
      <xdr:nvPicPr>
        <xdr:cNvPr id="5" name="image43.jpg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2</xdr:row>
      <xdr:rowOff>438150</xdr:rowOff>
    </xdr:from>
    <xdr:ext cx="838200" cy="552450"/>
    <xdr:pic>
      <xdr:nvPicPr>
        <xdr:cNvPr id="6" name="image8.png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1295400</xdr:rowOff>
    </xdr:from>
    <xdr:ext cx="638175" cy="171450"/>
    <xdr:pic>
      <xdr:nvPicPr>
        <xdr:cNvPr id="7" name="image1.png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3</xdr:row>
      <xdr:rowOff>85725</xdr:rowOff>
    </xdr:from>
    <xdr:ext cx="1971675" cy="1990725"/>
    <xdr:pic>
      <xdr:nvPicPr>
        <xdr:cNvPr id="8" name="image3.jpg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3</xdr:row>
      <xdr:rowOff>438150</xdr:rowOff>
    </xdr:from>
    <xdr:ext cx="838200" cy="552450"/>
    <xdr:pic>
      <xdr:nvPicPr>
        <xdr:cNvPr id="9" name="image8.png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1295400</xdr:rowOff>
    </xdr:from>
    <xdr:ext cx="638175" cy="171450"/>
    <xdr:pic>
      <xdr:nvPicPr>
        <xdr:cNvPr id="10" name="image1.png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4</xdr:row>
      <xdr:rowOff>85725</xdr:rowOff>
    </xdr:from>
    <xdr:ext cx="1971675" cy="1990725"/>
    <xdr:pic>
      <xdr:nvPicPr>
        <xdr:cNvPr id="11" name="image9.jpg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4</xdr:row>
      <xdr:rowOff>438150</xdr:rowOff>
    </xdr:from>
    <xdr:ext cx="838200" cy="552450"/>
    <xdr:pic>
      <xdr:nvPicPr>
        <xdr:cNvPr id="12" name="image8.png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1295400</xdr:rowOff>
    </xdr:from>
    <xdr:ext cx="638175" cy="171450"/>
    <xdr:pic>
      <xdr:nvPicPr>
        <xdr:cNvPr id="13" name="image1.png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5</xdr:row>
      <xdr:rowOff>104775</xdr:rowOff>
    </xdr:from>
    <xdr:ext cx="1971675" cy="2324100"/>
    <xdr:pic>
      <xdr:nvPicPr>
        <xdr:cNvPr id="14" name="image6.jpg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5</xdr:row>
      <xdr:rowOff>619125</xdr:rowOff>
    </xdr:from>
    <xdr:ext cx="838200" cy="552450"/>
    <xdr:pic>
      <xdr:nvPicPr>
        <xdr:cNvPr id="15" name="image8.png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6</xdr:row>
      <xdr:rowOff>85725</xdr:rowOff>
    </xdr:from>
    <xdr:ext cx="1971675" cy="1990725"/>
    <xdr:pic>
      <xdr:nvPicPr>
        <xdr:cNvPr id="16" name="image4.jpg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6</xdr:row>
      <xdr:rowOff>438150</xdr:rowOff>
    </xdr:from>
    <xdr:ext cx="838200" cy="552450"/>
    <xdr:pic>
      <xdr:nvPicPr>
        <xdr:cNvPr id="17" name="image8.png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1295400</xdr:rowOff>
    </xdr:from>
    <xdr:ext cx="638175" cy="171450"/>
    <xdr:pic>
      <xdr:nvPicPr>
        <xdr:cNvPr id="18" name="image1.png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7</xdr:row>
      <xdr:rowOff>104775</xdr:rowOff>
    </xdr:from>
    <xdr:ext cx="1971675" cy="2324100"/>
    <xdr:pic>
      <xdr:nvPicPr>
        <xdr:cNvPr id="19" name="image2.jpg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7</xdr:row>
      <xdr:rowOff>619125</xdr:rowOff>
    </xdr:from>
    <xdr:ext cx="838200" cy="552450"/>
    <xdr:pic>
      <xdr:nvPicPr>
        <xdr:cNvPr id="20" name="image8.png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8</xdr:row>
      <xdr:rowOff>85725</xdr:rowOff>
    </xdr:from>
    <xdr:ext cx="1971675" cy="1990725"/>
    <xdr:pic>
      <xdr:nvPicPr>
        <xdr:cNvPr id="21" name="image5.jpg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8</xdr:row>
      <xdr:rowOff>438150</xdr:rowOff>
    </xdr:from>
    <xdr:ext cx="838200" cy="552450"/>
    <xdr:pic>
      <xdr:nvPicPr>
        <xdr:cNvPr id="22" name="image8.png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1295400</xdr:rowOff>
    </xdr:from>
    <xdr:ext cx="638175" cy="171450"/>
    <xdr:pic>
      <xdr:nvPicPr>
        <xdr:cNvPr id="23" name="image1.png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9</xdr:row>
      <xdr:rowOff>66675</xdr:rowOff>
    </xdr:from>
    <xdr:ext cx="1971675" cy="1590675"/>
    <xdr:pic>
      <xdr:nvPicPr>
        <xdr:cNvPr id="24" name="image25.jpg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9</xdr:row>
      <xdr:rowOff>219075</xdr:rowOff>
    </xdr:from>
    <xdr:ext cx="838200" cy="552450"/>
    <xdr:pic>
      <xdr:nvPicPr>
        <xdr:cNvPr id="25" name="image8.png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1038225</xdr:rowOff>
    </xdr:from>
    <xdr:ext cx="638175" cy="171450"/>
    <xdr:pic>
      <xdr:nvPicPr>
        <xdr:cNvPr id="26" name="image1.png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10</xdr:row>
      <xdr:rowOff>66675</xdr:rowOff>
    </xdr:from>
    <xdr:ext cx="1971675" cy="1590675"/>
    <xdr:pic>
      <xdr:nvPicPr>
        <xdr:cNvPr id="27" name="image10.jpg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10</xdr:row>
      <xdr:rowOff>219075</xdr:rowOff>
    </xdr:from>
    <xdr:ext cx="838200" cy="552450"/>
    <xdr:pic>
      <xdr:nvPicPr>
        <xdr:cNvPr id="28" name="image8.png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1038225</xdr:rowOff>
    </xdr:from>
    <xdr:ext cx="638175" cy="171450"/>
    <xdr:pic>
      <xdr:nvPicPr>
        <xdr:cNvPr id="29" name="image1.png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11</xdr:row>
      <xdr:rowOff>85725</xdr:rowOff>
    </xdr:from>
    <xdr:ext cx="1971675" cy="1990725"/>
    <xdr:pic>
      <xdr:nvPicPr>
        <xdr:cNvPr id="30" name="image12.jpg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11</xdr:row>
      <xdr:rowOff>438150</xdr:rowOff>
    </xdr:from>
    <xdr:ext cx="838200" cy="552450"/>
    <xdr:pic>
      <xdr:nvPicPr>
        <xdr:cNvPr id="31" name="image8.png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12</xdr:row>
      <xdr:rowOff>85725</xdr:rowOff>
    </xdr:from>
    <xdr:ext cx="1971675" cy="1990725"/>
    <xdr:pic>
      <xdr:nvPicPr>
        <xdr:cNvPr id="32" name="image22.jpg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12</xdr:row>
      <xdr:rowOff>438150</xdr:rowOff>
    </xdr:from>
    <xdr:ext cx="838200" cy="552450"/>
    <xdr:pic>
      <xdr:nvPicPr>
        <xdr:cNvPr id="33" name="image8.png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1295400</xdr:rowOff>
    </xdr:from>
    <xdr:ext cx="638175" cy="171450"/>
    <xdr:pic>
      <xdr:nvPicPr>
        <xdr:cNvPr id="34" name="image1.png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13</xdr:row>
      <xdr:rowOff>85725</xdr:rowOff>
    </xdr:from>
    <xdr:ext cx="1971675" cy="1990725"/>
    <xdr:pic>
      <xdr:nvPicPr>
        <xdr:cNvPr id="35" name="image26.jpg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13</xdr:row>
      <xdr:rowOff>438150</xdr:rowOff>
    </xdr:from>
    <xdr:ext cx="838200" cy="552450"/>
    <xdr:pic>
      <xdr:nvPicPr>
        <xdr:cNvPr id="36" name="image8.png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1295400</xdr:rowOff>
    </xdr:from>
    <xdr:ext cx="638175" cy="171450"/>
    <xdr:pic>
      <xdr:nvPicPr>
        <xdr:cNvPr id="37" name="image1.png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14</xdr:row>
      <xdr:rowOff>66675</xdr:rowOff>
    </xdr:from>
    <xdr:ext cx="1971675" cy="1590675"/>
    <xdr:pic>
      <xdr:nvPicPr>
        <xdr:cNvPr id="38" name="image11.jpg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14</xdr:row>
      <xdr:rowOff>219075</xdr:rowOff>
    </xdr:from>
    <xdr:ext cx="838200" cy="552450"/>
    <xdr:pic>
      <xdr:nvPicPr>
        <xdr:cNvPr id="39" name="image8.png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1038225</xdr:rowOff>
    </xdr:from>
    <xdr:ext cx="638175" cy="171450"/>
    <xdr:pic>
      <xdr:nvPicPr>
        <xdr:cNvPr id="40" name="image1.png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15</xdr:row>
      <xdr:rowOff>104775</xdr:rowOff>
    </xdr:from>
    <xdr:ext cx="1971675" cy="2324100"/>
    <xdr:pic>
      <xdr:nvPicPr>
        <xdr:cNvPr id="41" name="image13.jpg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15</xdr:row>
      <xdr:rowOff>619125</xdr:rowOff>
    </xdr:from>
    <xdr:ext cx="838200" cy="552450"/>
    <xdr:pic>
      <xdr:nvPicPr>
        <xdr:cNvPr id="42" name="image8.png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16</xdr:row>
      <xdr:rowOff>104775</xdr:rowOff>
    </xdr:from>
    <xdr:ext cx="1971675" cy="2324100"/>
    <xdr:pic>
      <xdr:nvPicPr>
        <xdr:cNvPr id="43" name="image35.jpg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16</xdr:row>
      <xdr:rowOff>619125</xdr:rowOff>
    </xdr:from>
    <xdr:ext cx="838200" cy="552450"/>
    <xdr:pic>
      <xdr:nvPicPr>
        <xdr:cNvPr id="44" name="image8.png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17</xdr:row>
      <xdr:rowOff>104775</xdr:rowOff>
    </xdr:from>
    <xdr:ext cx="1971675" cy="2324100"/>
    <xdr:pic>
      <xdr:nvPicPr>
        <xdr:cNvPr id="45" name="image36.jpg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17</xdr:row>
      <xdr:rowOff>619125</xdr:rowOff>
    </xdr:from>
    <xdr:ext cx="838200" cy="552450"/>
    <xdr:pic>
      <xdr:nvPicPr>
        <xdr:cNvPr id="46" name="image8.png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18</xdr:row>
      <xdr:rowOff>104775</xdr:rowOff>
    </xdr:from>
    <xdr:ext cx="1971675" cy="2324100"/>
    <xdr:pic>
      <xdr:nvPicPr>
        <xdr:cNvPr id="47" name="image34.jpg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18</xdr:row>
      <xdr:rowOff>619125</xdr:rowOff>
    </xdr:from>
    <xdr:ext cx="838200" cy="552450"/>
    <xdr:pic>
      <xdr:nvPicPr>
        <xdr:cNvPr id="48" name="image8.png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19</xdr:row>
      <xdr:rowOff>104775</xdr:rowOff>
    </xdr:from>
    <xdr:ext cx="1971675" cy="2324100"/>
    <xdr:pic>
      <xdr:nvPicPr>
        <xdr:cNvPr id="49" name="image33.jpg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19</xdr:row>
      <xdr:rowOff>619125</xdr:rowOff>
    </xdr:from>
    <xdr:ext cx="838200" cy="552450"/>
    <xdr:pic>
      <xdr:nvPicPr>
        <xdr:cNvPr id="50" name="image8.png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1514475</xdr:rowOff>
    </xdr:from>
    <xdr:ext cx="638175" cy="171450"/>
    <xdr:pic>
      <xdr:nvPicPr>
        <xdr:cNvPr id="51" name="image1.png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20</xdr:row>
      <xdr:rowOff>66675</xdr:rowOff>
    </xdr:from>
    <xdr:ext cx="1971675" cy="1590675"/>
    <xdr:pic>
      <xdr:nvPicPr>
        <xdr:cNvPr id="52" name="image14.jpg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20</xdr:row>
      <xdr:rowOff>219075</xdr:rowOff>
    </xdr:from>
    <xdr:ext cx="838200" cy="552450"/>
    <xdr:pic>
      <xdr:nvPicPr>
        <xdr:cNvPr id="53" name="image8.png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21</xdr:row>
      <xdr:rowOff>66675</xdr:rowOff>
    </xdr:from>
    <xdr:ext cx="1971675" cy="1590675"/>
    <xdr:pic>
      <xdr:nvPicPr>
        <xdr:cNvPr id="54" name="image27.jpg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21</xdr:row>
      <xdr:rowOff>219075</xdr:rowOff>
    </xdr:from>
    <xdr:ext cx="838200" cy="552450"/>
    <xdr:pic>
      <xdr:nvPicPr>
        <xdr:cNvPr id="55" name="image8.png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22</xdr:row>
      <xdr:rowOff>85725</xdr:rowOff>
    </xdr:from>
    <xdr:ext cx="1971675" cy="1990725"/>
    <xdr:pic>
      <xdr:nvPicPr>
        <xdr:cNvPr id="56" name="image23.jpg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22</xdr:row>
      <xdr:rowOff>438150</xdr:rowOff>
    </xdr:from>
    <xdr:ext cx="838200" cy="552450"/>
    <xdr:pic>
      <xdr:nvPicPr>
        <xdr:cNvPr id="57" name="image8.png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1295400</xdr:rowOff>
    </xdr:from>
    <xdr:ext cx="638175" cy="171450"/>
    <xdr:pic>
      <xdr:nvPicPr>
        <xdr:cNvPr id="58" name="image1.png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23</xdr:row>
      <xdr:rowOff>47625</xdr:rowOff>
    </xdr:from>
    <xdr:ext cx="1971675" cy="1190625"/>
    <xdr:pic>
      <xdr:nvPicPr>
        <xdr:cNvPr id="59" name="image32.jpg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23</xdr:row>
      <xdr:rowOff>9525</xdr:rowOff>
    </xdr:from>
    <xdr:ext cx="838200" cy="552450"/>
    <xdr:pic>
      <xdr:nvPicPr>
        <xdr:cNvPr id="60" name="image8.png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24</xdr:row>
      <xdr:rowOff>85725</xdr:rowOff>
    </xdr:from>
    <xdr:ext cx="1971675" cy="1990725"/>
    <xdr:pic>
      <xdr:nvPicPr>
        <xdr:cNvPr id="61" name="image21.jpg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24</xdr:row>
      <xdr:rowOff>438150</xdr:rowOff>
    </xdr:from>
    <xdr:ext cx="838200" cy="552450"/>
    <xdr:pic>
      <xdr:nvPicPr>
        <xdr:cNvPr id="62" name="image8.png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25</xdr:row>
      <xdr:rowOff>66675</xdr:rowOff>
    </xdr:from>
    <xdr:ext cx="1971675" cy="1590675"/>
    <xdr:pic>
      <xdr:nvPicPr>
        <xdr:cNvPr id="63" name="image44.jpg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25</xdr:row>
      <xdr:rowOff>219075</xdr:rowOff>
    </xdr:from>
    <xdr:ext cx="838200" cy="552450"/>
    <xdr:pic>
      <xdr:nvPicPr>
        <xdr:cNvPr id="64" name="image8.png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1038225</xdr:rowOff>
    </xdr:from>
    <xdr:ext cx="638175" cy="171450"/>
    <xdr:pic>
      <xdr:nvPicPr>
        <xdr:cNvPr id="65" name="image1.png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26</xdr:row>
      <xdr:rowOff>66675</xdr:rowOff>
    </xdr:from>
    <xdr:ext cx="1971675" cy="1590675"/>
    <xdr:pic>
      <xdr:nvPicPr>
        <xdr:cNvPr id="66" name="image18.jpg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26</xdr:row>
      <xdr:rowOff>219075</xdr:rowOff>
    </xdr:from>
    <xdr:ext cx="838200" cy="552450"/>
    <xdr:pic>
      <xdr:nvPicPr>
        <xdr:cNvPr id="67" name="image8.png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1038225</xdr:rowOff>
    </xdr:from>
    <xdr:ext cx="638175" cy="171450"/>
    <xdr:pic>
      <xdr:nvPicPr>
        <xdr:cNvPr id="68" name="image1.png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27</xdr:row>
      <xdr:rowOff>66675</xdr:rowOff>
    </xdr:from>
    <xdr:ext cx="1971675" cy="1590675"/>
    <xdr:pic>
      <xdr:nvPicPr>
        <xdr:cNvPr id="69" name="image15.jpg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27</xdr:row>
      <xdr:rowOff>219075</xdr:rowOff>
    </xdr:from>
    <xdr:ext cx="838200" cy="552450"/>
    <xdr:pic>
      <xdr:nvPicPr>
        <xdr:cNvPr id="70" name="image8.png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1038225</xdr:rowOff>
    </xdr:from>
    <xdr:ext cx="638175" cy="171450"/>
    <xdr:pic>
      <xdr:nvPicPr>
        <xdr:cNvPr id="71" name="image1.png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28</xdr:row>
      <xdr:rowOff>85725</xdr:rowOff>
    </xdr:from>
    <xdr:ext cx="1971675" cy="1990725"/>
    <xdr:pic>
      <xdr:nvPicPr>
        <xdr:cNvPr id="72" name="image17.jpg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28</xdr:row>
      <xdr:rowOff>438150</xdr:rowOff>
    </xdr:from>
    <xdr:ext cx="838200" cy="552450"/>
    <xdr:pic>
      <xdr:nvPicPr>
        <xdr:cNvPr id="73" name="image8.png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1295400</xdr:rowOff>
    </xdr:from>
    <xdr:ext cx="638175" cy="171450"/>
    <xdr:pic>
      <xdr:nvPicPr>
        <xdr:cNvPr id="74" name="image1.png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29</xdr:row>
      <xdr:rowOff>85725</xdr:rowOff>
    </xdr:from>
    <xdr:ext cx="1971675" cy="1990725"/>
    <xdr:pic>
      <xdr:nvPicPr>
        <xdr:cNvPr id="75" name="image16.jpg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29</xdr:row>
      <xdr:rowOff>438150</xdr:rowOff>
    </xdr:from>
    <xdr:ext cx="838200" cy="552450"/>
    <xdr:pic>
      <xdr:nvPicPr>
        <xdr:cNvPr id="76" name="image8.png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30</xdr:row>
      <xdr:rowOff>85725</xdr:rowOff>
    </xdr:from>
    <xdr:ext cx="1971675" cy="1990725"/>
    <xdr:pic>
      <xdr:nvPicPr>
        <xdr:cNvPr id="77" name="image20.jpg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30</xdr:row>
      <xdr:rowOff>438150</xdr:rowOff>
    </xdr:from>
    <xdr:ext cx="838200" cy="552450"/>
    <xdr:pic>
      <xdr:nvPicPr>
        <xdr:cNvPr id="78" name="image8.png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31</xdr:row>
      <xdr:rowOff>85725</xdr:rowOff>
    </xdr:from>
    <xdr:ext cx="1971675" cy="1990725"/>
    <xdr:pic>
      <xdr:nvPicPr>
        <xdr:cNvPr id="79" name="image37.jpg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31</xdr:row>
      <xdr:rowOff>438150</xdr:rowOff>
    </xdr:from>
    <xdr:ext cx="838200" cy="552450"/>
    <xdr:pic>
      <xdr:nvPicPr>
        <xdr:cNvPr id="80" name="image8.png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32</xdr:row>
      <xdr:rowOff>85725</xdr:rowOff>
    </xdr:from>
    <xdr:ext cx="1971675" cy="1990725"/>
    <xdr:pic>
      <xdr:nvPicPr>
        <xdr:cNvPr id="81" name="image19.jpg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32</xdr:row>
      <xdr:rowOff>438150</xdr:rowOff>
    </xdr:from>
    <xdr:ext cx="838200" cy="552450"/>
    <xdr:pic>
      <xdr:nvPicPr>
        <xdr:cNvPr id="82" name="image8.png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1295400</xdr:rowOff>
    </xdr:from>
    <xdr:ext cx="638175" cy="171450"/>
    <xdr:pic>
      <xdr:nvPicPr>
        <xdr:cNvPr id="83" name="image1.png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33</xdr:row>
      <xdr:rowOff>85725</xdr:rowOff>
    </xdr:from>
    <xdr:ext cx="1971675" cy="1990725"/>
    <xdr:pic>
      <xdr:nvPicPr>
        <xdr:cNvPr id="84" name="image42.jpg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33</xdr:row>
      <xdr:rowOff>438150</xdr:rowOff>
    </xdr:from>
    <xdr:ext cx="838200" cy="552450"/>
    <xdr:pic>
      <xdr:nvPicPr>
        <xdr:cNvPr id="85" name="image8.png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34</xdr:row>
      <xdr:rowOff>85725</xdr:rowOff>
    </xdr:from>
    <xdr:ext cx="1971675" cy="1990725"/>
    <xdr:pic>
      <xdr:nvPicPr>
        <xdr:cNvPr id="86" name="image28.jpg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34</xdr:row>
      <xdr:rowOff>438150</xdr:rowOff>
    </xdr:from>
    <xdr:ext cx="838200" cy="552450"/>
    <xdr:pic>
      <xdr:nvPicPr>
        <xdr:cNvPr id="87" name="image8.png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35</xdr:row>
      <xdr:rowOff>85725</xdr:rowOff>
    </xdr:from>
    <xdr:ext cx="1971675" cy="1990725"/>
    <xdr:pic>
      <xdr:nvPicPr>
        <xdr:cNvPr id="88" name="image24.jpg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35</xdr:row>
      <xdr:rowOff>438150</xdr:rowOff>
    </xdr:from>
    <xdr:ext cx="838200" cy="552450"/>
    <xdr:pic>
      <xdr:nvPicPr>
        <xdr:cNvPr id="89" name="image8.png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36</xdr:row>
      <xdr:rowOff>104775</xdr:rowOff>
    </xdr:from>
    <xdr:ext cx="1971675" cy="2314575"/>
    <xdr:pic>
      <xdr:nvPicPr>
        <xdr:cNvPr id="90" name="image39.jpg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36</xdr:row>
      <xdr:rowOff>619125</xdr:rowOff>
    </xdr:from>
    <xdr:ext cx="838200" cy="552450"/>
    <xdr:pic>
      <xdr:nvPicPr>
        <xdr:cNvPr id="91" name="image8.png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37</xdr:row>
      <xdr:rowOff>104775</xdr:rowOff>
    </xdr:from>
    <xdr:ext cx="1971675" cy="2314575"/>
    <xdr:pic>
      <xdr:nvPicPr>
        <xdr:cNvPr id="92" name="image31.jpg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37</xdr:row>
      <xdr:rowOff>619125</xdr:rowOff>
    </xdr:from>
    <xdr:ext cx="838200" cy="552450"/>
    <xdr:pic>
      <xdr:nvPicPr>
        <xdr:cNvPr id="93" name="image8.png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38</xdr:row>
      <xdr:rowOff>85725</xdr:rowOff>
    </xdr:from>
    <xdr:ext cx="1971675" cy="1990725"/>
    <xdr:pic>
      <xdr:nvPicPr>
        <xdr:cNvPr id="94" name="image40.jpg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38</xdr:row>
      <xdr:rowOff>438150</xdr:rowOff>
    </xdr:from>
    <xdr:ext cx="838200" cy="552450"/>
    <xdr:pic>
      <xdr:nvPicPr>
        <xdr:cNvPr id="95" name="image8.png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39</xdr:row>
      <xdr:rowOff>104775</xdr:rowOff>
    </xdr:from>
    <xdr:ext cx="1971675" cy="2324100"/>
    <xdr:pic>
      <xdr:nvPicPr>
        <xdr:cNvPr id="96" name="image30.jpg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39</xdr:row>
      <xdr:rowOff>619125</xdr:rowOff>
    </xdr:from>
    <xdr:ext cx="838200" cy="552450"/>
    <xdr:pic>
      <xdr:nvPicPr>
        <xdr:cNvPr id="97" name="image8.png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1514475</xdr:rowOff>
    </xdr:from>
    <xdr:ext cx="638175" cy="171450"/>
    <xdr:pic>
      <xdr:nvPicPr>
        <xdr:cNvPr id="98" name="image1.png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40</xdr:row>
      <xdr:rowOff>66675</xdr:rowOff>
    </xdr:from>
    <xdr:ext cx="1971675" cy="1590675"/>
    <xdr:pic>
      <xdr:nvPicPr>
        <xdr:cNvPr id="99" name="image41.jpg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40</xdr:row>
      <xdr:rowOff>219075</xdr:rowOff>
    </xdr:from>
    <xdr:ext cx="838200" cy="552450"/>
    <xdr:pic>
      <xdr:nvPicPr>
        <xdr:cNvPr id="100" name="image8.png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41</xdr:row>
      <xdr:rowOff>85725</xdr:rowOff>
    </xdr:from>
    <xdr:ext cx="1971675" cy="1990725"/>
    <xdr:pic>
      <xdr:nvPicPr>
        <xdr:cNvPr id="101" name="image29.jpg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41</xdr:row>
      <xdr:rowOff>438150</xdr:rowOff>
    </xdr:from>
    <xdr:ext cx="838200" cy="552450"/>
    <xdr:pic>
      <xdr:nvPicPr>
        <xdr:cNvPr id="102" name="image8.png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42</xdr:row>
      <xdr:rowOff>85725</xdr:rowOff>
    </xdr:from>
    <xdr:ext cx="1971675" cy="1990725"/>
    <xdr:pic>
      <xdr:nvPicPr>
        <xdr:cNvPr id="103" name="image38.jpg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42</xdr:row>
      <xdr:rowOff>438150</xdr:rowOff>
    </xdr:from>
    <xdr:ext cx="838200" cy="552450"/>
    <xdr:pic>
      <xdr:nvPicPr>
        <xdr:cNvPr id="104" name="image8.png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shitijo-my.sharepoint.com/personal/romany_bashitihardware_com/Documents/office%20work/Total/Total%202026%20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N"/>
      <sheetName val="5N"/>
      <sheetName val="4N"/>
      <sheetName val="1N"/>
      <sheetName val="32"/>
      <sheetName val="33M"/>
      <sheetName val="2026"/>
      <sheetName val="Sheet1"/>
      <sheetName val="Total 2026 n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9"/>
  <sheetViews>
    <sheetView tabSelected="1" workbookViewId="0">
      <pane ySplit="1" topLeftCell="A3" activePane="bottomLeft" state="frozen"/>
      <selection pane="bottomLeft" sqref="A1:XFD1"/>
    </sheetView>
  </sheetViews>
  <sheetFormatPr defaultColWidth="12.6640625" defaultRowHeight="15" customHeight="1" x14ac:dyDescent="0.3"/>
  <cols>
    <col min="1" max="1" width="16.6640625" customWidth="1"/>
    <col min="2" max="3" width="28.6640625" customWidth="1"/>
    <col min="4" max="4" width="20.6640625" customWidth="1"/>
    <col min="5" max="5" width="37.109375" customWidth="1"/>
    <col min="6" max="6" width="5.6640625" customWidth="1"/>
    <col min="7" max="7" width="8.6640625" customWidth="1"/>
    <col min="8" max="9" width="12.6640625" customWidth="1"/>
    <col min="10" max="10" width="18.6640625" customWidth="1"/>
    <col min="11" max="26" width="9" customWidth="1"/>
  </cols>
  <sheetData>
    <row r="1" spans="1:26" ht="22.5" customHeight="1" x14ac:dyDescent="0.3">
      <c r="A1" s="2" t="s">
        <v>0</v>
      </c>
      <c r="B1" s="2" t="s">
        <v>1</v>
      </c>
      <c r="C1" s="3"/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0.25" customHeight="1" x14ac:dyDescent="0.3">
      <c r="A2" s="4" t="s">
        <v>9</v>
      </c>
      <c r="B2" s="4" t="s">
        <v>10</v>
      </c>
      <c r="C2" s="5" t="e">
        <f>VLOOKUP(A2,'[1]2026'!A2:H1794,3,FALSE)</f>
        <v>#N/A</v>
      </c>
      <c r="D2" s="4" t="s">
        <v>11</v>
      </c>
      <c r="E2" s="6" t="s">
        <v>12</v>
      </c>
      <c r="F2" s="5" t="s">
        <v>13</v>
      </c>
      <c r="G2" s="5">
        <v>110</v>
      </c>
      <c r="H2" s="7" t="e">
        <f>VLOOKUP(A2,'[1]2026'!A2:H1794,5,FALSE)</f>
        <v>#N/A</v>
      </c>
      <c r="I2" s="8" t="e">
        <f>VLOOKUP(A2,'[1]2026'!A2:H1794,6,FALSE)</f>
        <v>#N/A</v>
      </c>
      <c r="J2" s="9" t="s">
        <v>14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1.75" customHeight="1" x14ac:dyDescent="0.3">
      <c r="A3" s="4" t="s">
        <v>15</v>
      </c>
      <c r="B3" s="4" t="s">
        <v>10</v>
      </c>
      <c r="C3" s="10" t="s">
        <v>16</v>
      </c>
      <c r="D3" s="4" t="s">
        <v>17</v>
      </c>
      <c r="E3" s="6" t="s">
        <v>18</v>
      </c>
      <c r="F3" s="5" t="s">
        <v>13</v>
      </c>
      <c r="G3" s="5">
        <v>40</v>
      </c>
      <c r="H3" s="11">
        <v>120</v>
      </c>
      <c r="I3" s="12">
        <v>170</v>
      </c>
      <c r="J3" s="9" t="s">
        <v>19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1.75" customHeight="1" x14ac:dyDescent="0.3">
      <c r="A4" s="4" t="s">
        <v>20</v>
      </c>
      <c r="B4" s="4" t="s">
        <v>10</v>
      </c>
      <c r="C4" s="5" t="s">
        <v>21</v>
      </c>
      <c r="D4" s="4" t="s">
        <v>22</v>
      </c>
      <c r="E4" s="6" t="s">
        <v>23</v>
      </c>
      <c r="F4" s="5" t="s">
        <v>13</v>
      </c>
      <c r="G4" s="5">
        <v>96</v>
      </c>
      <c r="H4" s="13">
        <v>75</v>
      </c>
      <c r="I4" s="14">
        <v>100</v>
      </c>
      <c r="J4" s="9" t="s">
        <v>24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1.75" customHeight="1" x14ac:dyDescent="0.3">
      <c r="A5" s="4" t="s">
        <v>25</v>
      </c>
      <c r="B5" s="4" t="s">
        <v>10</v>
      </c>
      <c r="C5" s="5" t="s">
        <v>26</v>
      </c>
      <c r="D5" s="4" t="s">
        <v>22</v>
      </c>
      <c r="E5" s="6" t="s">
        <v>27</v>
      </c>
      <c r="F5" s="5" t="s">
        <v>13</v>
      </c>
      <c r="G5" s="5">
        <v>40</v>
      </c>
      <c r="H5" s="13">
        <v>80</v>
      </c>
      <c r="I5" s="14">
        <v>110</v>
      </c>
      <c r="J5" s="9" t="s">
        <v>28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00.25" customHeight="1" x14ac:dyDescent="0.3">
      <c r="A6" s="4" t="s">
        <v>29</v>
      </c>
      <c r="B6" s="4" t="s">
        <v>10</v>
      </c>
      <c r="C6" s="5" t="s">
        <v>30</v>
      </c>
      <c r="D6" s="4" t="s">
        <v>31</v>
      </c>
      <c r="E6" s="6" t="s">
        <v>32</v>
      </c>
      <c r="F6" s="5" t="s">
        <v>13</v>
      </c>
      <c r="G6" s="5">
        <v>48</v>
      </c>
      <c r="H6" s="11">
        <v>21</v>
      </c>
      <c r="I6" s="12">
        <v>30</v>
      </c>
      <c r="J6" s="9" t="s">
        <v>33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1.75" customHeight="1" x14ac:dyDescent="0.3">
      <c r="A7" s="4" t="s">
        <v>34</v>
      </c>
      <c r="B7" s="4" t="s">
        <v>10</v>
      </c>
      <c r="C7" s="5" t="s">
        <v>175</v>
      </c>
      <c r="D7" s="4" t="s">
        <v>35</v>
      </c>
      <c r="E7" s="6" t="s">
        <v>36</v>
      </c>
      <c r="F7" s="5" t="s">
        <v>13</v>
      </c>
      <c r="G7" s="5">
        <v>20</v>
      </c>
      <c r="H7" s="7" t="s">
        <v>175</v>
      </c>
      <c r="I7" s="8" t="s">
        <v>175</v>
      </c>
      <c r="J7" s="9" t="s">
        <v>37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0.25" customHeight="1" x14ac:dyDescent="0.3">
      <c r="A8" s="4" t="s">
        <v>38</v>
      </c>
      <c r="B8" s="4" t="s">
        <v>10</v>
      </c>
      <c r="C8" s="5" t="s">
        <v>175</v>
      </c>
      <c r="D8" s="4" t="s">
        <v>39</v>
      </c>
      <c r="E8" s="6" t="s">
        <v>40</v>
      </c>
      <c r="F8" s="5" t="s">
        <v>13</v>
      </c>
      <c r="G8" s="5">
        <v>100</v>
      </c>
      <c r="H8" s="7" t="s">
        <v>175</v>
      </c>
      <c r="I8" s="8" t="s">
        <v>175</v>
      </c>
      <c r="J8" s="9" t="s">
        <v>41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71.75" customHeight="1" x14ac:dyDescent="0.3">
      <c r="A9" s="4" t="s">
        <v>42</v>
      </c>
      <c r="B9" s="4" t="s">
        <v>10</v>
      </c>
      <c r="C9" s="5" t="s">
        <v>175</v>
      </c>
      <c r="D9" s="4" t="s">
        <v>43</v>
      </c>
      <c r="E9" s="6" t="s">
        <v>44</v>
      </c>
      <c r="F9" s="5" t="s">
        <v>13</v>
      </c>
      <c r="G9" s="5">
        <v>100</v>
      </c>
      <c r="H9" s="7" t="s">
        <v>175</v>
      </c>
      <c r="I9" s="8" t="s">
        <v>175</v>
      </c>
      <c r="J9" s="9" t="s">
        <v>45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7.25" customHeight="1" x14ac:dyDescent="0.3">
      <c r="A10" s="4" t="s">
        <v>46</v>
      </c>
      <c r="B10" s="4" t="s">
        <v>10</v>
      </c>
      <c r="C10" s="5" t="s">
        <v>175</v>
      </c>
      <c r="D10" s="4" t="s">
        <v>47</v>
      </c>
      <c r="E10" s="6" t="s">
        <v>48</v>
      </c>
      <c r="F10" s="5" t="s">
        <v>13</v>
      </c>
      <c r="G10" s="5">
        <v>156</v>
      </c>
      <c r="H10" s="7" t="s">
        <v>175</v>
      </c>
      <c r="I10" s="8" t="s">
        <v>175</v>
      </c>
      <c r="J10" s="9" t="s">
        <v>49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7.25" customHeight="1" x14ac:dyDescent="0.3">
      <c r="A11" s="4" t="s">
        <v>50</v>
      </c>
      <c r="B11" s="4" t="s">
        <v>10</v>
      </c>
      <c r="C11" s="5" t="s">
        <v>175</v>
      </c>
      <c r="D11" s="4" t="s">
        <v>47</v>
      </c>
      <c r="E11" s="6" t="s">
        <v>51</v>
      </c>
      <c r="F11" s="5" t="s">
        <v>13</v>
      </c>
      <c r="G11" s="5">
        <v>70</v>
      </c>
      <c r="H11" s="7" t="s">
        <v>175</v>
      </c>
      <c r="I11" s="8" t="s">
        <v>175</v>
      </c>
      <c r="J11" s="9" t="s">
        <v>52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71.75" customHeight="1" x14ac:dyDescent="0.3">
      <c r="A12" s="4" t="s">
        <v>53</v>
      </c>
      <c r="B12" s="4" t="s">
        <v>10</v>
      </c>
      <c r="C12" s="5" t="s">
        <v>175</v>
      </c>
      <c r="D12" s="4" t="s">
        <v>54</v>
      </c>
      <c r="E12" s="6" t="s">
        <v>55</v>
      </c>
      <c r="F12" s="5" t="s">
        <v>13</v>
      </c>
      <c r="G12" s="5">
        <v>100</v>
      </c>
      <c r="H12" s="7" t="s">
        <v>175</v>
      </c>
      <c r="I12" s="8" t="s">
        <v>175</v>
      </c>
      <c r="J12" s="9" t="s">
        <v>56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71.75" customHeight="1" x14ac:dyDescent="0.3">
      <c r="A13" s="4" t="s">
        <v>57</v>
      </c>
      <c r="B13" s="4" t="s">
        <v>10</v>
      </c>
      <c r="C13" s="5" t="s">
        <v>175</v>
      </c>
      <c r="D13" s="4" t="s">
        <v>54</v>
      </c>
      <c r="E13" s="6" t="s">
        <v>58</v>
      </c>
      <c r="F13" s="5" t="s">
        <v>13</v>
      </c>
      <c r="G13" s="5">
        <v>52</v>
      </c>
      <c r="H13" s="7">
        <v>44.5</v>
      </c>
      <c r="I13" s="8" t="s">
        <v>175</v>
      </c>
      <c r="J13" s="9" t="s">
        <v>59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71.75" customHeight="1" x14ac:dyDescent="0.3">
      <c r="A14" s="4" t="s">
        <v>60</v>
      </c>
      <c r="B14" s="4" t="s">
        <v>10</v>
      </c>
      <c r="C14" s="5" t="s">
        <v>175</v>
      </c>
      <c r="D14" s="4" t="s">
        <v>54</v>
      </c>
      <c r="E14" s="6" t="s">
        <v>61</v>
      </c>
      <c r="F14" s="5" t="s">
        <v>13</v>
      </c>
      <c r="G14" s="5">
        <v>50</v>
      </c>
      <c r="H14" s="7" t="s">
        <v>175</v>
      </c>
      <c r="I14" s="8" t="s">
        <v>175</v>
      </c>
      <c r="J14" s="9" t="s">
        <v>62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7.25" customHeight="1" x14ac:dyDescent="0.3">
      <c r="A15" s="4" t="s">
        <v>63</v>
      </c>
      <c r="B15" s="4" t="s">
        <v>10</v>
      </c>
      <c r="C15" s="5" t="s">
        <v>175</v>
      </c>
      <c r="D15" s="4" t="s">
        <v>64</v>
      </c>
      <c r="E15" s="6" t="s">
        <v>65</v>
      </c>
      <c r="F15" s="5" t="s">
        <v>13</v>
      </c>
      <c r="G15" s="5">
        <v>20</v>
      </c>
      <c r="H15" s="7" t="s">
        <v>175</v>
      </c>
      <c r="I15" s="8" t="s">
        <v>175</v>
      </c>
      <c r="J15" s="9" t="s">
        <v>66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0.25" customHeight="1" x14ac:dyDescent="0.3">
      <c r="A16" s="4" t="s">
        <v>67</v>
      </c>
      <c r="B16" s="4" t="s">
        <v>10</v>
      </c>
      <c r="C16" s="5" t="s">
        <v>175</v>
      </c>
      <c r="D16" s="4" t="s">
        <v>68</v>
      </c>
      <c r="E16" s="6" t="s">
        <v>69</v>
      </c>
      <c r="F16" s="5" t="s">
        <v>13</v>
      </c>
      <c r="G16" s="5">
        <v>300</v>
      </c>
      <c r="H16" s="7" t="s">
        <v>175</v>
      </c>
      <c r="I16" s="8" t="e">
        <f>VLOOKUP(A16,'[1]2026'!A14:H1806,6,FALSE)</f>
        <v>#N/A</v>
      </c>
      <c r="J16" s="9" t="s">
        <v>70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00.25" customHeight="1" x14ac:dyDescent="0.3">
      <c r="A17" s="4" t="s">
        <v>71</v>
      </c>
      <c r="B17" s="4" t="s">
        <v>10</v>
      </c>
      <c r="C17" s="5" t="s">
        <v>175</v>
      </c>
      <c r="D17" s="4" t="s">
        <v>68</v>
      </c>
      <c r="E17" s="6" t="s">
        <v>72</v>
      </c>
      <c r="F17" s="5" t="s">
        <v>13</v>
      </c>
      <c r="G17" s="5">
        <v>420</v>
      </c>
      <c r="H17" s="7" t="s">
        <v>175</v>
      </c>
      <c r="I17" s="8" t="s">
        <v>175</v>
      </c>
      <c r="J17" s="9" t="s">
        <v>73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0.25" customHeight="1" x14ac:dyDescent="0.3">
      <c r="A18" s="4" t="s">
        <v>74</v>
      </c>
      <c r="B18" s="4" t="s">
        <v>10</v>
      </c>
      <c r="C18" s="5" t="s">
        <v>175</v>
      </c>
      <c r="D18" s="4" t="s">
        <v>68</v>
      </c>
      <c r="E18" s="6" t="s">
        <v>75</v>
      </c>
      <c r="F18" s="5" t="s">
        <v>13</v>
      </c>
      <c r="G18" s="5">
        <v>233</v>
      </c>
      <c r="H18" s="7" t="s">
        <v>175</v>
      </c>
      <c r="I18" s="8" t="s">
        <v>175</v>
      </c>
      <c r="J18" s="9" t="s">
        <v>76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00.25" customHeight="1" x14ac:dyDescent="0.3">
      <c r="A19" s="4" t="s">
        <v>77</v>
      </c>
      <c r="B19" s="4" t="s">
        <v>10</v>
      </c>
      <c r="C19" s="5" t="s">
        <v>175</v>
      </c>
      <c r="D19" s="4" t="s">
        <v>68</v>
      </c>
      <c r="E19" s="6" t="s">
        <v>78</v>
      </c>
      <c r="F19" s="5" t="s">
        <v>13</v>
      </c>
      <c r="G19" s="5">
        <v>275</v>
      </c>
      <c r="H19" s="7" t="s">
        <v>175</v>
      </c>
      <c r="I19" s="8" t="s">
        <v>175</v>
      </c>
      <c r="J19" s="9" t="s">
        <v>79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0.25" customHeight="1" x14ac:dyDescent="0.3">
      <c r="A20" s="4" t="s">
        <v>80</v>
      </c>
      <c r="B20" s="4" t="s">
        <v>10</v>
      </c>
      <c r="C20" s="5" t="s">
        <v>175</v>
      </c>
      <c r="D20" s="4" t="s">
        <v>81</v>
      </c>
      <c r="E20" s="6" t="s">
        <v>82</v>
      </c>
      <c r="F20" s="5" t="s">
        <v>13</v>
      </c>
      <c r="G20" s="5">
        <v>20</v>
      </c>
      <c r="H20" s="7" t="s">
        <v>175</v>
      </c>
      <c r="I20" s="8" t="s">
        <v>175</v>
      </c>
      <c r="J20" s="9" t="s">
        <v>83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7.25" customHeight="1" x14ac:dyDescent="0.3">
      <c r="A21" s="4" t="s">
        <v>84</v>
      </c>
      <c r="B21" s="4" t="s">
        <v>10</v>
      </c>
      <c r="C21" s="5" t="s">
        <v>175</v>
      </c>
      <c r="D21" s="4" t="s">
        <v>85</v>
      </c>
      <c r="E21" s="6" t="s">
        <v>86</v>
      </c>
      <c r="F21" s="5" t="s">
        <v>87</v>
      </c>
      <c r="G21" s="5">
        <v>2400</v>
      </c>
      <c r="H21" s="7" t="s">
        <v>175</v>
      </c>
      <c r="I21" s="8" t="s">
        <v>175</v>
      </c>
      <c r="J21" s="9" t="s">
        <v>88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7.25" customHeight="1" x14ac:dyDescent="0.3">
      <c r="A22" s="4" t="s">
        <v>89</v>
      </c>
      <c r="B22" s="4" t="s">
        <v>10</v>
      </c>
      <c r="C22" s="5" t="s">
        <v>175</v>
      </c>
      <c r="D22" s="4" t="s">
        <v>90</v>
      </c>
      <c r="E22" s="6" t="s">
        <v>91</v>
      </c>
      <c r="F22" s="5" t="s">
        <v>13</v>
      </c>
      <c r="G22" s="5">
        <v>3000</v>
      </c>
      <c r="H22" s="7" t="s">
        <v>175</v>
      </c>
      <c r="I22" s="8" t="s">
        <v>175</v>
      </c>
      <c r="J22" s="9" t="s">
        <v>92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71.75" customHeight="1" x14ac:dyDescent="0.3">
      <c r="A23" s="4" t="s">
        <v>93</v>
      </c>
      <c r="B23" s="4" t="s">
        <v>10</v>
      </c>
      <c r="C23" s="5" t="s">
        <v>175</v>
      </c>
      <c r="D23" s="4" t="s">
        <v>94</v>
      </c>
      <c r="E23" s="6" t="s">
        <v>95</v>
      </c>
      <c r="F23" s="5" t="s">
        <v>13</v>
      </c>
      <c r="G23" s="5">
        <v>25</v>
      </c>
      <c r="H23" s="7" t="s">
        <v>175</v>
      </c>
      <c r="I23" s="8" t="s">
        <v>175</v>
      </c>
      <c r="J23" s="9" t="s">
        <v>96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02.75" customHeight="1" x14ac:dyDescent="0.3">
      <c r="A24" s="4" t="s">
        <v>97</v>
      </c>
      <c r="B24" s="4" t="s">
        <v>10</v>
      </c>
      <c r="C24" s="5" t="s">
        <v>175</v>
      </c>
      <c r="D24" s="4" t="s">
        <v>98</v>
      </c>
      <c r="E24" s="6" t="s">
        <v>99</v>
      </c>
      <c r="F24" s="5" t="s">
        <v>13</v>
      </c>
      <c r="G24" s="5">
        <v>540</v>
      </c>
      <c r="H24" s="7" t="s">
        <v>175</v>
      </c>
      <c r="I24" s="8" t="s">
        <v>175</v>
      </c>
      <c r="J24" s="9" t="s">
        <v>100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71.75" customHeight="1" x14ac:dyDescent="0.3">
      <c r="A25" s="4" t="s">
        <v>101</v>
      </c>
      <c r="B25" s="4" t="s">
        <v>10</v>
      </c>
      <c r="C25" s="5" t="s">
        <v>175</v>
      </c>
      <c r="D25" s="4" t="s">
        <v>102</v>
      </c>
      <c r="E25" s="6" t="s">
        <v>103</v>
      </c>
      <c r="F25" s="5" t="s">
        <v>13</v>
      </c>
      <c r="G25" s="5">
        <v>120</v>
      </c>
      <c r="H25" s="7" t="s">
        <v>175</v>
      </c>
      <c r="I25" s="8" t="s">
        <v>175</v>
      </c>
      <c r="J25" s="9" t="s">
        <v>104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7.25" customHeight="1" x14ac:dyDescent="0.3">
      <c r="A26" s="4" t="s">
        <v>105</v>
      </c>
      <c r="B26" s="4" t="s">
        <v>10</v>
      </c>
      <c r="C26" s="5" t="s">
        <v>175</v>
      </c>
      <c r="D26" s="4" t="s">
        <v>106</v>
      </c>
      <c r="E26" s="6" t="s">
        <v>107</v>
      </c>
      <c r="F26" s="5" t="s">
        <v>13</v>
      </c>
      <c r="G26" s="5">
        <v>828</v>
      </c>
      <c r="H26" s="7" t="s">
        <v>175</v>
      </c>
      <c r="I26" s="8" t="s">
        <v>175</v>
      </c>
      <c r="J26" s="9" t="s">
        <v>108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7.25" customHeight="1" x14ac:dyDescent="0.3">
      <c r="A27" s="4" t="s">
        <v>109</v>
      </c>
      <c r="B27" s="4" t="s">
        <v>10</v>
      </c>
      <c r="C27" s="5" t="s">
        <v>175</v>
      </c>
      <c r="D27" s="4" t="s">
        <v>106</v>
      </c>
      <c r="E27" s="6" t="s">
        <v>110</v>
      </c>
      <c r="F27" s="5" t="s">
        <v>13</v>
      </c>
      <c r="G27" s="5">
        <v>1008</v>
      </c>
      <c r="H27" s="7" t="s">
        <v>175</v>
      </c>
      <c r="I27" s="8" t="s">
        <v>175</v>
      </c>
      <c r="J27" s="9" t="s">
        <v>111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7.25" customHeight="1" x14ac:dyDescent="0.3">
      <c r="A28" s="4" t="s">
        <v>112</v>
      </c>
      <c r="B28" s="4" t="s">
        <v>10</v>
      </c>
      <c r="C28" s="5" t="s">
        <v>175</v>
      </c>
      <c r="D28" s="4" t="s">
        <v>106</v>
      </c>
      <c r="E28" s="6" t="s">
        <v>113</v>
      </c>
      <c r="F28" s="5" t="s">
        <v>13</v>
      </c>
      <c r="G28" s="5">
        <v>120</v>
      </c>
      <c r="H28" s="7" t="s">
        <v>175</v>
      </c>
      <c r="I28" s="8" t="s">
        <v>175</v>
      </c>
      <c r="J28" s="9" t="s">
        <v>114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71.75" customHeight="1" x14ac:dyDescent="0.3">
      <c r="A29" s="4" t="s">
        <v>115</v>
      </c>
      <c r="B29" s="4" t="s">
        <v>10</v>
      </c>
      <c r="C29" s="5" t="s">
        <v>175</v>
      </c>
      <c r="D29" s="4" t="s">
        <v>116</v>
      </c>
      <c r="E29" s="6" t="s">
        <v>117</v>
      </c>
      <c r="F29" s="5" t="s">
        <v>13</v>
      </c>
      <c r="G29" s="5">
        <v>192</v>
      </c>
      <c r="H29" s="7" t="e">
        <f>VLOOKUP(A29,'[1]2026'!A27:H1820,5,FALSE)</f>
        <v>#N/A</v>
      </c>
      <c r="I29" s="8" t="e">
        <f>VLOOKUP(A29,'[1]2026'!A27:H1820,6,FALSE)</f>
        <v>#N/A</v>
      </c>
      <c r="J29" s="9" t="s">
        <v>118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71.75" customHeight="1" x14ac:dyDescent="0.3">
      <c r="A30" s="4" t="s">
        <v>119</v>
      </c>
      <c r="B30" s="4" t="s">
        <v>10</v>
      </c>
      <c r="C30" s="5" t="e">
        <f>VLOOKUP(A30,'[1]2026'!A27:H1820,3,FALSE)</f>
        <v>#N/A</v>
      </c>
      <c r="D30" s="4" t="s">
        <v>120</v>
      </c>
      <c r="E30" s="6" t="s">
        <v>121</v>
      </c>
      <c r="F30" s="5" t="s">
        <v>13</v>
      </c>
      <c r="G30" s="5">
        <v>80</v>
      </c>
      <c r="H30" s="7" t="e">
        <f>VLOOKUP(A30,'[1]2026'!A27:H1821,5,FALSE)</f>
        <v>#N/A</v>
      </c>
      <c r="I30" s="8" t="e">
        <f>VLOOKUP(A30,'[1]2026'!A27:H1821,6,FALSE)</f>
        <v>#N/A</v>
      </c>
      <c r="J30" s="9" t="s">
        <v>122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71.75" customHeight="1" x14ac:dyDescent="0.3">
      <c r="A31" s="4" t="s">
        <v>123</v>
      </c>
      <c r="B31" s="4" t="s">
        <v>10</v>
      </c>
      <c r="C31" s="5" t="s">
        <v>124</v>
      </c>
      <c r="D31" s="4" t="s">
        <v>125</v>
      </c>
      <c r="E31" s="6" t="s">
        <v>126</v>
      </c>
      <c r="F31" s="5" t="s">
        <v>13</v>
      </c>
      <c r="G31" s="5">
        <v>40</v>
      </c>
      <c r="H31" s="13">
        <v>29</v>
      </c>
      <c r="I31" s="14">
        <v>39</v>
      </c>
      <c r="J31" s="9" t="s">
        <v>127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71.75" customHeight="1" x14ac:dyDescent="0.3">
      <c r="A32" s="4" t="s">
        <v>128</v>
      </c>
      <c r="B32" s="4" t="s">
        <v>10</v>
      </c>
      <c r="C32" s="5" t="e">
        <f>VLOOKUP(A32,'[1]2026'!A28:H1822,3,FALSE)</f>
        <v>#N/A</v>
      </c>
      <c r="D32" s="4" t="s">
        <v>129</v>
      </c>
      <c r="E32" s="6" t="s">
        <v>130</v>
      </c>
      <c r="F32" s="5" t="s">
        <v>13</v>
      </c>
      <c r="G32" s="5">
        <v>960</v>
      </c>
      <c r="H32" s="7" t="s">
        <v>175</v>
      </c>
      <c r="I32" s="8" t="s">
        <v>175</v>
      </c>
      <c r="J32" s="9" t="s">
        <v>131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71.75" customHeight="1" x14ac:dyDescent="0.3">
      <c r="A33" s="4" t="s">
        <v>132</v>
      </c>
      <c r="B33" s="4" t="s">
        <v>10</v>
      </c>
      <c r="C33" s="5" t="s">
        <v>175</v>
      </c>
      <c r="D33" s="4" t="s">
        <v>129</v>
      </c>
      <c r="E33" s="6" t="s">
        <v>133</v>
      </c>
      <c r="F33" s="5" t="s">
        <v>13</v>
      </c>
      <c r="G33" s="5">
        <v>480</v>
      </c>
      <c r="H33" s="7" t="s">
        <v>175</v>
      </c>
      <c r="I33" s="8" t="s">
        <v>175</v>
      </c>
      <c r="J33" s="9" t="s">
        <v>134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71.75" customHeight="1" x14ac:dyDescent="0.3">
      <c r="A34" s="4" t="s">
        <v>135</v>
      </c>
      <c r="B34" s="4" t="s">
        <v>10</v>
      </c>
      <c r="C34" s="5" t="s">
        <v>175</v>
      </c>
      <c r="D34" s="4" t="s">
        <v>136</v>
      </c>
      <c r="E34" s="6" t="s">
        <v>137</v>
      </c>
      <c r="F34" s="5" t="s">
        <v>13</v>
      </c>
      <c r="G34" s="5">
        <v>2160</v>
      </c>
      <c r="H34" s="7" t="s">
        <v>175</v>
      </c>
      <c r="I34" s="8" t="s">
        <v>175</v>
      </c>
      <c r="J34" s="9" t="s">
        <v>138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71.75" customHeight="1" x14ac:dyDescent="0.3">
      <c r="A35" s="4" t="s">
        <v>139</v>
      </c>
      <c r="B35" s="4" t="s">
        <v>10</v>
      </c>
      <c r="C35" s="5" t="s">
        <v>175</v>
      </c>
      <c r="D35" s="4" t="s">
        <v>140</v>
      </c>
      <c r="E35" s="6" t="s">
        <v>141</v>
      </c>
      <c r="F35" s="5" t="s">
        <v>13</v>
      </c>
      <c r="G35" s="5">
        <v>60</v>
      </c>
      <c r="H35" s="7" t="s">
        <v>175</v>
      </c>
      <c r="I35" s="8" t="s">
        <v>175</v>
      </c>
      <c r="J35" s="9" t="s">
        <v>142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71.75" customHeight="1" x14ac:dyDescent="0.3">
      <c r="A36" s="4" t="s">
        <v>143</v>
      </c>
      <c r="B36" s="4" t="s">
        <v>10</v>
      </c>
      <c r="C36" s="5" t="s">
        <v>175</v>
      </c>
      <c r="D36" s="4" t="s">
        <v>140</v>
      </c>
      <c r="E36" s="6" t="s">
        <v>144</v>
      </c>
      <c r="F36" s="5" t="s">
        <v>13</v>
      </c>
      <c r="G36" s="5">
        <v>60</v>
      </c>
      <c r="H36" s="7">
        <v>70</v>
      </c>
      <c r="I36" s="8" t="s">
        <v>175</v>
      </c>
      <c r="J36" s="9" t="s">
        <v>145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99.5" customHeight="1" x14ac:dyDescent="0.3">
      <c r="A37" s="4" t="s">
        <v>146</v>
      </c>
      <c r="B37" s="4" t="s">
        <v>10</v>
      </c>
      <c r="C37" s="5" t="s">
        <v>175</v>
      </c>
      <c r="D37" s="4" t="s">
        <v>147</v>
      </c>
      <c r="E37" s="6" t="s">
        <v>148</v>
      </c>
      <c r="F37" s="5" t="s">
        <v>149</v>
      </c>
      <c r="G37" s="5">
        <v>2160</v>
      </c>
      <c r="H37" s="7" t="s">
        <v>175</v>
      </c>
      <c r="I37" s="8" t="s">
        <v>175</v>
      </c>
      <c r="J37" s="9" t="s">
        <v>150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9.5" customHeight="1" x14ac:dyDescent="0.3">
      <c r="A38" s="4" t="s">
        <v>151</v>
      </c>
      <c r="B38" s="4" t="s">
        <v>10</v>
      </c>
      <c r="C38" s="5" t="s">
        <v>175</v>
      </c>
      <c r="D38" s="4" t="s">
        <v>152</v>
      </c>
      <c r="E38" s="6" t="s">
        <v>153</v>
      </c>
      <c r="F38" s="5" t="s">
        <v>149</v>
      </c>
      <c r="G38" s="5">
        <v>3000</v>
      </c>
      <c r="H38" s="7" t="s">
        <v>175</v>
      </c>
      <c r="I38" s="8" t="s">
        <v>175</v>
      </c>
      <c r="J38" s="9" t="s">
        <v>154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71.75" customHeight="1" x14ac:dyDescent="0.3">
      <c r="A39" s="4" t="s">
        <v>155</v>
      </c>
      <c r="B39" s="4" t="s">
        <v>10</v>
      </c>
      <c r="C39" s="5" t="s">
        <v>175</v>
      </c>
      <c r="D39" s="4" t="s">
        <v>156</v>
      </c>
      <c r="E39" s="6" t="s">
        <v>157</v>
      </c>
      <c r="F39" s="5" t="s">
        <v>13</v>
      </c>
      <c r="G39" s="5">
        <v>60</v>
      </c>
      <c r="H39" s="7" t="s">
        <v>175</v>
      </c>
      <c r="I39" s="8" t="s">
        <v>175</v>
      </c>
      <c r="J39" s="9" t="s">
        <v>158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00.25" customHeight="1" x14ac:dyDescent="0.3">
      <c r="A40" s="4" t="s">
        <v>159</v>
      </c>
      <c r="B40" s="4" t="s">
        <v>10</v>
      </c>
      <c r="C40" s="5" t="s">
        <v>175</v>
      </c>
      <c r="D40" s="4" t="s">
        <v>160</v>
      </c>
      <c r="E40" s="6" t="s">
        <v>161</v>
      </c>
      <c r="F40" s="5" t="s">
        <v>13</v>
      </c>
      <c r="G40" s="5">
        <v>960</v>
      </c>
      <c r="H40" s="7" t="s">
        <v>175</v>
      </c>
      <c r="I40" s="8" t="s">
        <v>175</v>
      </c>
      <c r="J40" s="9" t="s">
        <v>162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7.25" customHeight="1" x14ac:dyDescent="0.3">
      <c r="A41" s="4" t="s">
        <v>163</v>
      </c>
      <c r="B41" s="4" t="s">
        <v>10</v>
      </c>
      <c r="C41" s="5" t="s">
        <v>175</v>
      </c>
      <c r="D41" s="4" t="s">
        <v>164</v>
      </c>
      <c r="E41" s="6" t="s">
        <v>165</v>
      </c>
      <c r="F41" s="5" t="s">
        <v>13</v>
      </c>
      <c r="G41" s="5">
        <v>34</v>
      </c>
      <c r="H41" s="7" t="s">
        <v>175</v>
      </c>
      <c r="I41" s="8" t="s">
        <v>175</v>
      </c>
      <c r="J41" s="9" t="s">
        <v>166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71.75" customHeight="1" x14ac:dyDescent="0.3">
      <c r="A42" s="4" t="s">
        <v>167</v>
      </c>
      <c r="B42" s="4" t="s">
        <v>10</v>
      </c>
      <c r="C42" s="5" t="s">
        <v>175</v>
      </c>
      <c r="D42" s="4" t="s">
        <v>168</v>
      </c>
      <c r="E42" s="6" t="s">
        <v>169</v>
      </c>
      <c r="F42" s="5" t="s">
        <v>87</v>
      </c>
      <c r="G42" s="5">
        <v>30</v>
      </c>
      <c r="H42" s="7" t="s">
        <v>175</v>
      </c>
      <c r="I42" s="8" t="s">
        <v>175</v>
      </c>
      <c r="J42" s="9" t="s">
        <v>170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71.75" customHeight="1" x14ac:dyDescent="0.3">
      <c r="A43" s="4" t="s">
        <v>171</v>
      </c>
      <c r="B43" s="4" t="s">
        <v>10</v>
      </c>
      <c r="C43" s="5" t="s">
        <v>175</v>
      </c>
      <c r="D43" s="4" t="s">
        <v>172</v>
      </c>
      <c r="E43" s="6" t="s">
        <v>173</v>
      </c>
      <c r="F43" s="5" t="s">
        <v>13</v>
      </c>
      <c r="G43" s="5">
        <v>20</v>
      </c>
      <c r="H43" s="7" t="e">
        <f>VLOOKUP(A43,'[1]2026'!A39:H1837,5,FALSE)</f>
        <v>#N/A</v>
      </c>
      <c r="I43" s="8" t="e">
        <f>VLOOKUP(A43,'[1]2026'!A39:H1837,6,FALSE)</f>
        <v>#N/A</v>
      </c>
      <c r="J43" s="9" t="s">
        <v>174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3">
      <c r="A44" s="1"/>
      <c r="B44" s="1"/>
      <c r="C44" s="15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3">
      <c r="A45" s="1"/>
      <c r="B45" s="1"/>
      <c r="C45" s="15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3">
      <c r="A46" s="1"/>
      <c r="B46" s="1"/>
      <c r="C46" s="15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3">
      <c r="A47" s="1"/>
      <c r="B47" s="1"/>
      <c r="C47" s="1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3">
      <c r="A48" s="1"/>
      <c r="B48" s="1"/>
      <c r="C48" s="15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3">
      <c r="A49" s="1"/>
      <c r="B49" s="1"/>
      <c r="C49" s="15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3">
      <c r="A50" s="1"/>
      <c r="B50" s="1"/>
      <c r="C50" s="15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3">
      <c r="A51" s="1"/>
      <c r="B51" s="1"/>
      <c r="C51" s="15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3">
      <c r="A52" s="1"/>
      <c r="B52" s="1"/>
      <c r="C52" s="15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3">
      <c r="A53" s="1"/>
      <c r="B53" s="1"/>
      <c r="C53" s="15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3">
      <c r="A54" s="1"/>
      <c r="B54" s="1"/>
      <c r="C54" s="15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">
      <c r="A55" s="1"/>
      <c r="B55" s="1"/>
      <c r="C55" s="15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3">
      <c r="A56" s="1"/>
      <c r="B56" s="1"/>
      <c r="C56" s="15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3">
      <c r="A57" s="1"/>
      <c r="B57" s="1"/>
      <c r="C57" s="15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3">
      <c r="A58" s="1"/>
      <c r="B58" s="1"/>
      <c r="C58" s="15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3">
      <c r="A59" s="1"/>
      <c r="B59" s="1"/>
      <c r="C59" s="15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3">
      <c r="A60" s="1"/>
      <c r="B60" s="1"/>
      <c r="C60" s="15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3">
      <c r="A61" s="1"/>
      <c r="B61" s="1"/>
      <c r="C61" s="15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3">
      <c r="A62" s="1"/>
      <c r="B62" s="1"/>
      <c r="C62" s="15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3">
      <c r="A63" s="1"/>
      <c r="B63" s="1"/>
      <c r="C63" s="15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3">
      <c r="A64" s="1"/>
      <c r="B64" s="1"/>
      <c r="C64" s="15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3">
      <c r="A65" s="1"/>
      <c r="B65" s="1"/>
      <c r="C65" s="15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3">
      <c r="A66" s="1"/>
      <c r="B66" s="1"/>
      <c r="C66" s="15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3">
      <c r="A67" s="1"/>
      <c r="B67" s="1"/>
      <c r="C67" s="15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3">
      <c r="A68" s="1"/>
      <c r="B68" s="1"/>
      <c r="C68" s="15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3">
      <c r="A69" s="1"/>
      <c r="B69" s="1"/>
      <c r="C69" s="15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3">
      <c r="A70" s="1"/>
      <c r="B70" s="1"/>
      <c r="C70" s="15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3">
      <c r="A71" s="1"/>
      <c r="B71" s="1"/>
      <c r="C71" s="15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3">
      <c r="A72" s="1"/>
      <c r="B72" s="1"/>
      <c r="C72" s="15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3">
      <c r="A73" s="1"/>
      <c r="B73" s="1"/>
      <c r="C73" s="15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3">
      <c r="A74" s="1"/>
      <c r="B74" s="1"/>
      <c r="C74" s="15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3">
      <c r="A75" s="1"/>
      <c r="B75" s="1"/>
      <c r="C75" s="15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3">
      <c r="A76" s="1"/>
      <c r="B76" s="1"/>
      <c r="C76" s="15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3">
      <c r="A77" s="1"/>
      <c r="B77" s="1"/>
      <c r="C77" s="15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3">
      <c r="A78" s="1"/>
      <c r="B78" s="1"/>
      <c r="C78" s="15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3">
      <c r="A79" s="1"/>
      <c r="B79" s="1"/>
      <c r="C79" s="15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3">
      <c r="A80" s="1"/>
      <c r="B80" s="1"/>
      <c r="C80" s="15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3">
      <c r="A81" s="1"/>
      <c r="B81" s="1"/>
      <c r="C81" s="15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3">
      <c r="A82" s="1"/>
      <c r="B82" s="1"/>
      <c r="C82" s="15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3">
      <c r="A83" s="1"/>
      <c r="B83" s="1"/>
      <c r="C83" s="15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3">
      <c r="A84" s="1"/>
      <c r="B84" s="1"/>
      <c r="C84" s="15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3">
      <c r="A85" s="1"/>
      <c r="B85" s="1"/>
      <c r="C85" s="15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3">
      <c r="A86" s="1"/>
      <c r="B86" s="1"/>
      <c r="C86" s="15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3">
      <c r="A87" s="1"/>
      <c r="B87" s="1"/>
      <c r="C87" s="15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3">
      <c r="A88" s="1"/>
      <c r="B88" s="1"/>
      <c r="C88" s="15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3">
      <c r="A89" s="1"/>
      <c r="B89" s="1"/>
      <c r="C89" s="15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3">
      <c r="A90" s="1"/>
      <c r="B90" s="1"/>
      <c r="C90" s="15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3">
      <c r="A91" s="1"/>
      <c r="B91" s="1"/>
      <c r="C91" s="15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3">
      <c r="A92" s="1"/>
      <c r="B92" s="1"/>
      <c r="C92" s="15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3">
      <c r="A93" s="1"/>
      <c r="B93" s="1"/>
      <c r="C93" s="15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3">
      <c r="A94" s="1"/>
      <c r="B94" s="1"/>
      <c r="C94" s="15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3">
      <c r="A95" s="1"/>
      <c r="B95" s="1"/>
      <c r="C95" s="15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">
      <c r="A96" s="1"/>
      <c r="B96" s="1"/>
      <c r="C96" s="15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">
      <c r="A97" s="1"/>
      <c r="B97" s="1"/>
      <c r="C97" s="15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3">
      <c r="A98" s="1"/>
      <c r="B98" s="1"/>
      <c r="C98" s="15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3">
      <c r="A99" s="1"/>
      <c r="B99" s="1"/>
      <c r="C99" s="15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3">
      <c r="A100" s="1"/>
      <c r="B100" s="1"/>
      <c r="C100" s="15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3">
      <c r="A101" s="1"/>
      <c r="B101" s="1"/>
      <c r="C101" s="15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3">
      <c r="A102" s="1"/>
      <c r="B102" s="1"/>
      <c r="C102" s="15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3">
      <c r="A103" s="1"/>
      <c r="B103" s="1"/>
      <c r="C103" s="15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3">
      <c r="A104" s="1"/>
      <c r="B104" s="1"/>
      <c r="C104" s="15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3">
      <c r="A105" s="1"/>
      <c r="B105" s="1"/>
      <c r="C105" s="15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3">
      <c r="A106" s="1"/>
      <c r="B106" s="1"/>
      <c r="C106" s="15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3">
      <c r="A107" s="1"/>
      <c r="B107" s="1"/>
      <c r="C107" s="15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3">
      <c r="A108" s="1"/>
      <c r="B108" s="1"/>
      <c r="C108" s="15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3">
      <c r="A109" s="1"/>
      <c r="B109" s="1"/>
      <c r="C109" s="15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3">
      <c r="A110" s="1"/>
      <c r="B110" s="1"/>
      <c r="C110" s="15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3">
      <c r="A111" s="1"/>
      <c r="B111" s="1"/>
      <c r="C111" s="15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3">
      <c r="A112" s="1"/>
      <c r="B112" s="1"/>
      <c r="C112" s="15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3">
      <c r="A113" s="1"/>
      <c r="B113" s="1"/>
      <c r="C113" s="15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3">
      <c r="A114" s="1"/>
      <c r="B114" s="1"/>
      <c r="C114" s="15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3">
      <c r="A115" s="1"/>
      <c r="B115" s="1"/>
      <c r="C115" s="15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3">
      <c r="A116" s="1"/>
      <c r="B116" s="1"/>
      <c r="C116" s="15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3">
      <c r="A117" s="1"/>
      <c r="B117" s="1"/>
      <c r="C117" s="15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3">
      <c r="A118" s="1"/>
      <c r="B118" s="1"/>
      <c r="C118" s="15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3">
      <c r="A119" s="1"/>
      <c r="B119" s="1"/>
      <c r="C119" s="15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3">
      <c r="A120" s="1"/>
      <c r="B120" s="1"/>
      <c r="C120" s="15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3">
      <c r="A121" s="1"/>
      <c r="B121" s="1"/>
      <c r="C121" s="15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3">
      <c r="A122" s="1"/>
      <c r="B122" s="1"/>
      <c r="C122" s="15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">
      <c r="A123" s="1"/>
      <c r="B123" s="1"/>
      <c r="C123" s="15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3">
      <c r="A124" s="1"/>
      <c r="B124" s="1"/>
      <c r="C124" s="15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3">
      <c r="A125" s="1"/>
      <c r="B125" s="1"/>
      <c r="C125" s="15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3">
      <c r="A126" s="1"/>
      <c r="B126" s="1"/>
      <c r="C126" s="15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3">
      <c r="A127" s="1"/>
      <c r="B127" s="1"/>
      <c r="C127" s="15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3">
      <c r="A128" s="1"/>
      <c r="B128" s="1"/>
      <c r="C128" s="15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3">
      <c r="A129" s="1"/>
      <c r="B129" s="1"/>
      <c r="C129" s="15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3">
      <c r="A130" s="1"/>
      <c r="B130" s="1"/>
      <c r="C130" s="15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3">
      <c r="A131" s="1"/>
      <c r="B131" s="1"/>
      <c r="C131" s="15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3">
      <c r="A132" s="1"/>
      <c r="B132" s="1"/>
      <c r="C132" s="15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3">
      <c r="A133" s="1"/>
      <c r="B133" s="1"/>
      <c r="C133" s="15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3">
      <c r="A134" s="1"/>
      <c r="B134" s="1"/>
      <c r="C134" s="15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3">
      <c r="A135" s="1"/>
      <c r="B135" s="1"/>
      <c r="C135" s="15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3">
      <c r="A136" s="1"/>
      <c r="B136" s="1"/>
      <c r="C136" s="15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">
      <c r="A137" s="1"/>
      <c r="B137" s="1"/>
      <c r="C137" s="15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">
      <c r="A138" s="1"/>
      <c r="B138" s="1"/>
      <c r="C138" s="15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3">
      <c r="A139" s="1"/>
      <c r="B139" s="1"/>
      <c r="C139" s="15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3">
      <c r="A140" s="1"/>
      <c r="B140" s="1"/>
      <c r="C140" s="15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3">
      <c r="A141" s="1"/>
      <c r="B141" s="1"/>
      <c r="C141" s="15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3">
      <c r="A142" s="1"/>
      <c r="B142" s="1"/>
      <c r="C142" s="15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3">
      <c r="A143" s="1"/>
      <c r="B143" s="1"/>
      <c r="C143" s="15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">
      <c r="A144" s="1"/>
      <c r="B144" s="1"/>
      <c r="C144" s="15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">
      <c r="A145" s="1"/>
      <c r="B145" s="1"/>
      <c r="C145" s="15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">
      <c r="A146" s="1"/>
      <c r="B146" s="1"/>
      <c r="C146" s="15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">
      <c r="A147" s="1"/>
      <c r="B147" s="1"/>
      <c r="C147" s="15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">
      <c r="A148" s="1"/>
      <c r="B148" s="1"/>
      <c r="C148" s="15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">
      <c r="A149" s="1"/>
      <c r="B149" s="1"/>
      <c r="C149" s="15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3">
      <c r="A150" s="1"/>
      <c r="B150" s="1"/>
      <c r="C150" s="15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3">
      <c r="A151" s="1"/>
      <c r="B151" s="1"/>
      <c r="C151" s="15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">
      <c r="A152" s="1"/>
      <c r="B152" s="1"/>
      <c r="C152" s="15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">
      <c r="A153" s="1"/>
      <c r="B153" s="1"/>
      <c r="C153" s="15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">
      <c r="A154" s="1"/>
      <c r="B154" s="1"/>
      <c r="C154" s="15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3">
      <c r="A155" s="1"/>
      <c r="B155" s="1"/>
      <c r="C155" s="15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3">
      <c r="A156" s="1"/>
      <c r="B156" s="1"/>
      <c r="C156" s="15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3">
      <c r="A157" s="1"/>
      <c r="B157" s="1"/>
      <c r="C157" s="15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3">
      <c r="A158" s="1"/>
      <c r="B158" s="1"/>
      <c r="C158" s="15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">
      <c r="A159" s="1"/>
      <c r="B159" s="1"/>
      <c r="C159" s="15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3">
      <c r="A160" s="1"/>
      <c r="B160" s="1"/>
      <c r="C160" s="15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3">
      <c r="A161" s="1"/>
      <c r="B161" s="1"/>
      <c r="C161" s="15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">
      <c r="A162" s="1"/>
      <c r="B162" s="1"/>
      <c r="C162" s="15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3">
      <c r="A163" s="1"/>
      <c r="B163" s="1"/>
      <c r="C163" s="15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3">
      <c r="A164" s="1"/>
      <c r="B164" s="1"/>
      <c r="C164" s="15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">
      <c r="A165" s="1"/>
      <c r="B165" s="1"/>
      <c r="C165" s="15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3">
      <c r="A166" s="1"/>
      <c r="B166" s="1"/>
      <c r="C166" s="15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3">
      <c r="A167" s="1"/>
      <c r="B167" s="1"/>
      <c r="C167" s="15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3">
      <c r="A168" s="1"/>
      <c r="B168" s="1"/>
      <c r="C168" s="15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3">
      <c r="A169" s="1"/>
      <c r="B169" s="1"/>
      <c r="C169" s="15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3">
      <c r="A170" s="1"/>
      <c r="B170" s="1"/>
      <c r="C170" s="15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3">
      <c r="A171" s="1"/>
      <c r="B171" s="1"/>
      <c r="C171" s="15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3">
      <c r="A172" s="1"/>
      <c r="B172" s="1"/>
      <c r="C172" s="15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3">
      <c r="A173" s="1"/>
      <c r="B173" s="1"/>
      <c r="C173" s="15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3">
      <c r="A174" s="1"/>
      <c r="B174" s="1"/>
      <c r="C174" s="15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3">
      <c r="A175" s="1"/>
      <c r="B175" s="1"/>
      <c r="C175" s="15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3">
      <c r="A176" s="1"/>
      <c r="B176" s="1"/>
      <c r="C176" s="15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3">
      <c r="A177" s="1"/>
      <c r="B177" s="1"/>
      <c r="C177" s="15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3">
      <c r="A178" s="1"/>
      <c r="B178" s="1"/>
      <c r="C178" s="15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3">
      <c r="A179" s="1"/>
      <c r="B179" s="1"/>
      <c r="C179" s="15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">
      <c r="A180" s="1"/>
      <c r="B180" s="1"/>
      <c r="C180" s="15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3">
      <c r="A181" s="1"/>
      <c r="B181" s="1"/>
      <c r="C181" s="15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3">
      <c r="A182" s="1"/>
      <c r="B182" s="1"/>
      <c r="C182" s="15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3">
      <c r="A183" s="1"/>
      <c r="B183" s="1"/>
      <c r="C183" s="15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3">
      <c r="A184" s="1"/>
      <c r="B184" s="1"/>
      <c r="C184" s="15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3">
      <c r="A185" s="1"/>
      <c r="B185" s="1"/>
      <c r="C185" s="15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3">
      <c r="A186" s="1"/>
      <c r="B186" s="1"/>
      <c r="C186" s="15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3">
      <c r="A187" s="1"/>
      <c r="B187" s="1"/>
      <c r="C187" s="15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">
      <c r="A188" s="1"/>
      <c r="B188" s="1"/>
      <c r="C188" s="15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3">
      <c r="A189" s="1"/>
      <c r="B189" s="1"/>
      <c r="C189" s="15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3">
      <c r="A190" s="1"/>
      <c r="B190" s="1"/>
      <c r="C190" s="15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3">
      <c r="A191" s="1"/>
      <c r="B191" s="1"/>
      <c r="C191" s="15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3">
      <c r="A192" s="1"/>
      <c r="B192" s="1"/>
      <c r="C192" s="15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3">
      <c r="A193" s="1"/>
      <c r="B193" s="1"/>
      <c r="C193" s="15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3">
      <c r="A194" s="1"/>
      <c r="B194" s="1"/>
      <c r="C194" s="15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3">
      <c r="A195" s="1"/>
      <c r="B195" s="1"/>
      <c r="C195" s="15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3">
      <c r="A196" s="1"/>
      <c r="B196" s="1"/>
      <c r="C196" s="15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3">
      <c r="A197" s="1"/>
      <c r="B197" s="1"/>
      <c r="C197" s="15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3">
      <c r="A198" s="1"/>
      <c r="B198" s="1"/>
      <c r="C198" s="15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3">
      <c r="A199" s="1"/>
      <c r="B199" s="1"/>
      <c r="C199" s="15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3">
      <c r="A200" s="1"/>
      <c r="B200" s="1"/>
      <c r="C200" s="15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3">
      <c r="A201" s="1"/>
      <c r="B201" s="1"/>
      <c r="C201" s="15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3">
      <c r="A202" s="1"/>
      <c r="B202" s="1"/>
      <c r="C202" s="15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3">
      <c r="A203" s="1"/>
      <c r="B203" s="1"/>
      <c r="C203" s="15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3">
      <c r="A204" s="1"/>
      <c r="B204" s="1"/>
      <c r="C204" s="15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A205" s="1"/>
      <c r="B205" s="1"/>
      <c r="C205" s="15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3">
      <c r="A206" s="1"/>
      <c r="B206" s="1"/>
      <c r="C206" s="15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3">
      <c r="A207" s="1"/>
      <c r="B207" s="1"/>
      <c r="C207" s="15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3">
      <c r="A208" s="1"/>
      <c r="B208" s="1"/>
      <c r="C208" s="15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A209" s="1"/>
      <c r="B209" s="1"/>
      <c r="C209" s="15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3">
      <c r="A210" s="1"/>
      <c r="B210" s="1"/>
      <c r="C210" s="15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3">
      <c r="A211" s="1"/>
      <c r="B211" s="1"/>
      <c r="C211" s="15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3">
      <c r="A212" s="1"/>
      <c r="B212" s="1"/>
      <c r="C212" s="15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3">
      <c r="A213" s="1"/>
      <c r="B213" s="1"/>
      <c r="C213" s="15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3">
      <c r="A214" s="1"/>
      <c r="B214" s="1"/>
      <c r="C214" s="15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3">
      <c r="A215" s="1"/>
      <c r="B215" s="1"/>
      <c r="C215" s="15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3">
      <c r="A216" s="1"/>
      <c r="B216" s="1"/>
      <c r="C216" s="15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3">
      <c r="A217" s="1"/>
      <c r="B217" s="1"/>
      <c r="C217" s="15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3">
      <c r="A218" s="1"/>
      <c r="B218" s="1"/>
      <c r="C218" s="15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">
      <c r="A219" s="1"/>
      <c r="B219" s="1"/>
      <c r="C219" s="15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3">
      <c r="A220" s="1"/>
      <c r="B220" s="1"/>
      <c r="C220" s="15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3">
      <c r="A221" s="1"/>
      <c r="B221" s="1"/>
      <c r="C221" s="15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3">
      <c r="A222" s="1"/>
      <c r="B222" s="1"/>
      <c r="C222" s="15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3">
      <c r="A223" s="1"/>
      <c r="B223" s="1"/>
      <c r="C223" s="15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1"/>
      <c r="B224" s="1"/>
      <c r="C224" s="15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3">
      <c r="A225" s="1"/>
      <c r="B225" s="1"/>
      <c r="C225" s="15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3">
      <c r="A226" s="1"/>
      <c r="B226" s="1"/>
      <c r="C226" s="15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3">
      <c r="A227" s="1"/>
      <c r="B227" s="1"/>
      <c r="C227" s="15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3">
      <c r="A228" s="1"/>
      <c r="B228" s="1"/>
      <c r="C228" s="15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3">
      <c r="A229" s="1"/>
      <c r="B229" s="1"/>
      <c r="C229" s="15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3">
      <c r="A230" s="1"/>
      <c r="B230" s="1"/>
      <c r="C230" s="15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3">
      <c r="A231" s="1"/>
      <c r="B231" s="1"/>
      <c r="C231" s="15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3">
      <c r="A232" s="1"/>
      <c r="B232" s="1"/>
      <c r="C232" s="15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3">
      <c r="A233" s="1"/>
      <c r="B233" s="1"/>
      <c r="C233" s="15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3">
      <c r="A234" s="1"/>
      <c r="B234" s="1"/>
      <c r="C234" s="15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3">
      <c r="A235" s="1"/>
      <c r="B235" s="1"/>
      <c r="C235" s="15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3">
      <c r="A236" s="1"/>
      <c r="B236" s="1"/>
      <c r="C236" s="15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3">
      <c r="A237" s="1"/>
      <c r="B237" s="1"/>
      <c r="C237" s="15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3">
      <c r="A238" s="1"/>
      <c r="B238" s="1"/>
      <c r="C238" s="15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3">
      <c r="A239" s="1"/>
      <c r="B239" s="1"/>
      <c r="C239" s="15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3">
      <c r="A240" s="1"/>
      <c r="B240" s="1"/>
      <c r="C240" s="15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3">
      <c r="A241" s="1"/>
      <c r="B241" s="1"/>
      <c r="C241" s="15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3">
      <c r="A242" s="1"/>
      <c r="B242" s="1"/>
      <c r="C242" s="15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3">
      <c r="A243" s="1"/>
      <c r="B243" s="1"/>
      <c r="C243" s="15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3">
      <c r="A244" s="1"/>
      <c r="B244" s="1"/>
      <c r="C244" s="15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">
      <c r="A245" s="1"/>
      <c r="B245" s="1"/>
      <c r="C245" s="15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3">
      <c r="A246" s="1"/>
      <c r="B246" s="1"/>
      <c r="C246" s="15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3">
      <c r="A247" s="1"/>
      <c r="B247" s="1"/>
      <c r="C247" s="15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3">
      <c r="A248" s="1"/>
      <c r="B248" s="1"/>
      <c r="C248" s="15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">
      <c r="A249" s="1"/>
      <c r="B249" s="1"/>
      <c r="C249" s="15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">
      <c r="A250" s="1"/>
      <c r="B250" s="1"/>
      <c r="C250" s="15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">
      <c r="A251" s="1"/>
      <c r="B251" s="1"/>
      <c r="C251" s="15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3">
      <c r="A252" s="1"/>
      <c r="B252" s="1"/>
      <c r="C252" s="15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">
      <c r="A253" s="1"/>
      <c r="B253" s="1"/>
      <c r="C253" s="15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3">
      <c r="A254" s="1"/>
      <c r="B254" s="1"/>
      <c r="C254" s="15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">
      <c r="A255" s="1"/>
      <c r="B255" s="1"/>
      <c r="C255" s="15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">
      <c r="A256" s="1"/>
      <c r="B256" s="1"/>
      <c r="C256" s="15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">
      <c r="A257" s="1"/>
      <c r="B257" s="1"/>
      <c r="C257" s="15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A258" s="1"/>
      <c r="B258" s="1"/>
      <c r="C258" s="15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">
      <c r="A259" s="1"/>
      <c r="B259" s="1"/>
      <c r="C259" s="15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A260" s="1"/>
      <c r="B260" s="1"/>
      <c r="C260" s="15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A261" s="1"/>
      <c r="B261" s="1"/>
      <c r="C261" s="15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A262" s="1"/>
      <c r="B262" s="1"/>
      <c r="C262" s="15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">
      <c r="A263" s="1"/>
      <c r="B263" s="1"/>
      <c r="C263" s="15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A264" s="1"/>
      <c r="B264" s="1"/>
      <c r="C264" s="15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A265" s="1"/>
      <c r="B265" s="1"/>
      <c r="C265" s="15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A266" s="1"/>
      <c r="B266" s="1"/>
      <c r="C266" s="15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A267" s="1"/>
      <c r="B267" s="1"/>
      <c r="C267" s="15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A268" s="1"/>
      <c r="B268" s="1"/>
      <c r="C268" s="15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A269" s="1"/>
      <c r="B269" s="1"/>
      <c r="C269" s="15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A270" s="1"/>
      <c r="B270" s="1"/>
      <c r="C270" s="15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A271" s="1"/>
      <c r="B271" s="1"/>
      <c r="C271" s="15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1"/>
      <c r="B272" s="1"/>
      <c r="C272" s="15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1"/>
      <c r="B273" s="1"/>
      <c r="C273" s="15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1"/>
      <c r="B274" s="1"/>
      <c r="C274" s="15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1"/>
      <c r="B275" s="1"/>
      <c r="C275" s="15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B276" s="1"/>
      <c r="C276" s="15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B277" s="1"/>
      <c r="C277" s="15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B278" s="1"/>
      <c r="C278" s="15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B279" s="1"/>
      <c r="C279" s="15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B280" s="1"/>
      <c r="C280" s="15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B281" s="1"/>
      <c r="C281" s="15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B282" s="1"/>
      <c r="C282" s="15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B283" s="1"/>
      <c r="C283" s="15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B284" s="1"/>
      <c r="C284" s="15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B285" s="1"/>
      <c r="C285" s="15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B286" s="1"/>
      <c r="C286" s="15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B287" s="1"/>
      <c r="C287" s="15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B288" s="1"/>
      <c r="C288" s="15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B289" s="1"/>
      <c r="C289" s="15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B290" s="1"/>
      <c r="C290" s="15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B291" s="1"/>
      <c r="C291" s="15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B292" s="1"/>
      <c r="C292" s="15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B293" s="1"/>
      <c r="C293" s="15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B294" s="1"/>
      <c r="C294" s="15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B295" s="1"/>
      <c r="C295" s="15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B296" s="1"/>
      <c r="C296" s="15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B297" s="1"/>
      <c r="C297" s="15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B298" s="1"/>
      <c r="C298" s="15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B299" s="1"/>
      <c r="C299" s="15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B300" s="1"/>
      <c r="C300" s="15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B301" s="1"/>
      <c r="C301" s="15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B302" s="1"/>
      <c r="C302" s="15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B303" s="1"/>
      <c r="C303" s="15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B304" s="1"/>
      <c r="C304" s="15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B305" s="1"/>
      <c r="C305" s="15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B306" s="1"/>
      <c r="C306" s="15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B307" s="1"/>
      <c r="C307" s="15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B308" s="1"/>
      <c r="C308" s="15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B309" s="1"/>
      <c r="C309" s="15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B310" s="1"/>
      <c r="C310" s="15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B311" s="1"/>
      <c r="C311" s="15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B312" s="1"/>
      <c r="C312" s="15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B313" s="1"/>
      <c r="C313" s="15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B314" s="1"/>
      <c r="C314" s="15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B315" s="1"/>
      <c r="C315" s="15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B316" s="1"/>
      <c r="C316" s="15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B317" s="1"/>
      <c r="C317" s="15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B318" s="1"/>
      <c r="C318" s="15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B319" s="1"/>
      <c r="C319" s="15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B320" s="1"/>
      <c r="C320" s="15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B321" s="1"/>
      <c r="C321" s="15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B322" s="1"/>
      <c r="C322" s="15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B323" s="1"/>
      <c r="C323" s="15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B324" s="1"/>
      <c r="C324" s="15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B325" s="1"/>
      <c r="C325" s="15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B326" s="1"/>
      <c r="C326" s="15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B327" s="1"/>
      <c r="C327" s="15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B328" s="1"/>
      <c r="C328" s="15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B329" s="1"/>
      <c r="C329" s="15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B330" s="1"/>
      <c r="C330" s="15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B331" s="1"/>
      <c r="C331" s="15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B332" s="1"/>
      <c r="C332" s="15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B333" s="1"/>
      <c r="C333" s="15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B334" s="1"/>
      <c r="C334" s="15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B335" s="1"/>
      <c r="C335" s="15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B336" s="1"/>
      <c r="C336" s="15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B337" s="1"/>
      <c r="C337" s="15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B338" s="1"/>
      <c r="C338" s="15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B339" s="1"/>
      <c r="C339" s="15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B340" s="1"/>
      <c r="C340" s="15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B341" s="1"/>
      <c r="C341" s="15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B342" s="1"/>
      <c r="C342" s="15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B343" s="1"/>
      <c r="C343" s="15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B344" s="1"/>
      <c r="C344" s="15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B345" s="1"/>
      <c r="C345" s="15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B346" s="1"/>
      <c r="C346" s="15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B347" s="1"/>
      <c r="C347" s="15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B348" s="1"/>
      <c r="C348" s="15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B349" s="1"/>
      <c r="C349" s="15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B350" s="1"/>
      <c r="C350" s="15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B351" s="1"/>
      <c r="C351" s="15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B352" s="1"/>
      <c r="C352" s="15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B353" s="1"/>
      <c r="C353" s="15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B354" s="1"/>
      <c r="C354" s="15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B355" s="1"/>
      <c r="C355" s="15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B356" s="1"/>
      <c r="C356" s="15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B357" s="1"/>
      <c r="C357" s="15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B358" s="1"/>
      <c r="C358" s="15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B359" s="1"/>
      <c r="C359" s="15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B360" s="1"/>
      <c r="C360" s="15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B361" s="1"/>
      <c r="C361" s="15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B362" s="1"/>
      <c r="C362" s="15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B363" s="1"/>
      <c r="C363" s="15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B364" s="1"/>
      <c r="C364" s="15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B365" s="1"/>
      <c r="C365" s="15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B366" s="1"/>
      <c r="C366" s="15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B367" s="1"/>
      <c r="C367" s="15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B368" s="1"/>
      <c r="C368" s="15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B369" s="1"/>
      <c r="C369" s="15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B370" s="1"/>
      <c r="C370" s="15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B371" s="1"/>
      <c r="C371" s="15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B372" s="1"/>
      <c r="C372" s="15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B373" s="1"/>
      <c r="C373" s="15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B374" s="1"/>
      <c r="C374" s="15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B375" s="1"/>
      <c r="C375" s="15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B376" s="1"/>
      <c r="C376" s="15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B377" s="1"/>
      <c r="C377" s="15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B378" s="1"/>
      <c r="C378" s="15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B379" s="1"/>
      <c r="C379" s="15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1"/>
      <c r="B380" s="1"/>
      <c r="C380" s="15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">
      <c r="A381" s="1"/>
      <c r="B381" s="1"/>
      <c r="C381" s="15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1"/>
      <c r="B382" s="1"/>
      <c r="C382" s="15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B383" s="1"/>
      <c r="C383" s="15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1"/>
      <c r="B384" s="1"/>
      <c r="C384" s="15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">
      <c r="A385" s="1"/>
      <c r="B385" s="1"/>
      <c r="C385" s="15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">
      <c r="A386" s="1"/>
      <c r="B386" s="1"/>
      <c r="C386" s="15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">
      <c r="A387" s="1"/>
      <c r="B387" s="1"/>
      <c r="C387" s="15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">
      <c r="A388" s="1"/>
      <c r="B388" s="1"/>
      <c r="C388" s="15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">
      <c r="A389" s="1"/>
      <c r="B389" s="1"/>
      <c r="C389" s="15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1"/>
      <c r="B390" s="1"/>
      <c r="C390" s="15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1"/>
      <c r="B391" s="1"/>
      <c r="C391" s="15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1"/>
      <c r="B392" s="1"/>
      <c r="C392" s="15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">
      <c r="A393" s="1"/>
      <c r="B393" s="1"/>
      <c r="C393" s="15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">
      <c r="A394" s="1"/>
      <c r="B394" s="1"/>
      <c r="C394" s="15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">
      <c r="A395" s="1"/>
      <c r="B395" s="1"/>
      <c r="C395" s="15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">
      <c r="A396" s="1"/>
      <c r="B396" s="1"/>
      <c r="C396" s="15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">
      <c r="A397" s="1"/>
      <c r="B397" s="1"/>
      <c r="C397" s="15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">
      <c r="A398" s="1"/>
      <c r="B398" s="1"/>
      <c r="C398" s="15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">
      <c r="A399" s="1"/>
      <c r="B399" s="1"/>
      <c r="C399" s="15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">
      <c r="A400" s="1"/>
      <c r="B400" s="1"/>
      <c r="C400" s="15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">
      <c r="A401" s="1"/>
      <c r="B401" s="1"/>
      <c r="C401" s="15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">
      <c r="A402" s="1"/>
      <c r="B402" s="1"/>
      <c r="C402" s="15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">
      <c r="A403" s="1"/>
      <c r="B403" s="1"/>
      <c r="C403" s="15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">
      <c r="A404" s="1"/>
      <c r="B404" s="1"/>
      <c r="C404" s="15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">
      <c r="A405" s="1"/>
      <c r="B405" s="1"/>
      <c r="C405" s="15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">
      <c r="A406" s="1"/>
      <c r="B406" s="1"/>
      <c r="C406" s="15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">
      <c r="A407" s="1"/>
      <c r="B407" s="1"/>
      <c r="C407" s="15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">
      <c r="A408" s="1"/>
      <c r="B408" s="1"/>
      <c r="C408" s="15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">
      <c r="A409" s="1"/>
      <c r="B409" s="1"/>
      <c r="C409" s="15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">
      <c r="A410" s="1"/>
      <c r="B410" s="1"/>
      <c r="C410" s="15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">
      <c r="A411" s="1"/>
      <c r="B411" s="1"/>
      <c r="C411" s="15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3">
      <c r="A412" s="1"/>
      <c r="B412" s="1"/>
      <c r="C412" s="15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3">
      <c r="A413" s="1"/>
      <c r="B413" s="1"/>
      <c r="C413" s="15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3">
      <c r="A414" s="1"/>
      <c r="B414" s="1"/>
      <c r="C414" s="15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3">
      <c r="A415" s="1"/>
      <c r="B415" s="1"/>
      <c r="C415" s="15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3">
      <c r="A416" s="1"/>
      <c r="B416" s="1"/>
      <c r="C416" s="15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3">
      <c r="A417" s="1"/>
      <c r="B417" s="1"/>
      <c r="C417" s="15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3">
      <c r="A418" s="1"/>
      <c r="B418" s="1"/>
      <c r="C418" s="15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3">
      <c r="A419" s="1"/>
      <c r="B419" s="1"/>
      <c r="C419" s="15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3">
      <c r="A420" s="1"/>
      <c r="B420" s="1"/>
      <c r="C420" s="15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3">
      <c r="A421" s="1"/>
      <c r="B421" s="1"/>
      <c r="C421" s="15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3">
      <c r="A422" s="1"/>
      <c r="B422" s="1"/>
      <c r="C422" s="15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3">
      <c r="A423" s="1"/>
      <c r="B423" s="1"/>
      <c r="C423" s="15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3">
      <c r="A424" s="1"/>
      <c r="B424" s="1"/>
      <c r="C424" s="15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3">
      <c r="A425" s="1"/>
      <c r="B425" s="1"/>
      <c r="C425" s="15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3">
      <c r="A426" s="1"/>
      <c r="B426" s="1"/>
      <c r="C426" s="15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3">
      <c r="A427" s="1"/>
      <c r="B427" s="1"/>
      <c r="C427" s="15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3">
      <c r="A428" s="1"/>
      <c r="B428" s="1"/>
      <c r="C428" s="15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3">
      <c r="A429" s="1"/>
      <c r="B429" s="1"/>
      <c r="C429" s="15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3">
      <c r="A430" s="1"/>
      <c r="B430" s="1"/>
      <c r="C430" s="15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3">
      <c r="A431" s="1"/>
      <c r="B431" s="1"/>
      <c r="C431" s="15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3">
      <c r="A432" s="1"/>
      <c r="B432" s="1"/>
      <c r="C432" s="15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3">
      <c r="A433" s="1"/>
      <c r="B433" s="1"/>
      <c r="C433" s="15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3">
      <c r="A434" s="1"/>
      <c r="B434" s="1"/>
      <c r="C434" s="15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3">
      <c r="A435" s="1"/>
      <c r="B435" s="1"/>
      <c r="C435" s="15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3">
      <c r="A436" s="1"/>
      <c r="B436" s="1"/>
      <c r="C436" s="15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3">
      <c r="A437" s="1"/>
      <c r="B437" s="1"/>
      <c r="C437" s="15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3">
      <c r="A438" s="1"/>
      <c r="B438" s="1"/>
      <c r="C438" s="15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3">
      <c r="A439" s="1"/>
      <c r="B439" s="1"/>
      <c r="C439" s="15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3">
      <c r="A440" s="1"/>
      <c r="B440" s="1"/>
      <c r="C440" s="15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3">
      <c r="A441" s="1"/>
      <c r="B441" s="1"/>
      <c r="C441" s="15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3">
      <c r="A442" s="1"/>
      <c r="B442" s="1"/>
      <c r="C442" s="15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3">
      <c r="A443" s="1"/>
      <c r="B443" s="1"/>
      <c r="C443" s="15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3">
      <c r="A444" s="1"/>
      <c r="B444" s="1"/>
      <c r="C444" s="15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3">
      <c r="A445" s="1"/>
      <c r="B445" s="1"/>
      <c r="C445" s="15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3">
      <c r="A446" s="1"/>
      <c r="B446" s="1"/>
      <c r="C446" s="15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3">
      <c r="A447" s="1"/>
      <c r="B447" s="1"/>
      <c r="C447" s="15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3">
      <c r="A448" s="1"/>
      <c r="B448" s="1"/>
      <c r="C448" s="15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3">
      <c r="A449" s="1"/>
      <c r="B449" s="1"/>
      <c r="C449" s="15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3">
      <c r="A450" s="1"/>
      <c r="B450" s="1"/>
      <c r="C450" s="15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3">
      <c r="A451" s="1"/>
      <c r="B451" s="1"/>
      <c r="C451" s="15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3">
      <c r="A452" s="1"/>
      <c r="B452" s="1"/>
      <c r="C452" s="15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3">
      <c r="A453" s="1"/>
      <c r="B453" s="1"/>
      <c r="C453" s="15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3">
      <c r="A454" s="1"/>
      <c r="B454" s="1"/>
      <c r="C454" s="15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3">
      <c r="A455" s="1"/>
      <c r="B455" s="1"/>
      <c r="C455" s="15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3">
      <c r="A456" s="1"/>
      <c r="B456" s="1"/>
      <c r="C456" s="15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3">
      <c r="A457" s="1"/>
      <c r="B457" s="1"/>
      <c r="C457" s="15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3">
      <c r="A458" s="1"/>
      <c r="B458" s="1"/>
      <c r="C458" s="15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3">
      <c r="A459" s="1"/>
      <c r="B459" s="1"/>
      <c r="C459" s="15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3">
      <c r="A460" s="1"/>
      <c r="B460" s="1"/>
      <c r="C460" s="15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3">
      <c r="A461" s="1"/>
      <c r="B461" s="1"/>
      <c r="C461" s="15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3">
      <c r="A462" s="1"/>
      <c r="B462" s="1"/>
      <c r="C462" s="15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3">
      <c r="A463" s="1"/>
      <c r="B463" s="1"/>
      <c r="C463" s="15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3">
      <c r="A464" s="1"/>
      <c r="B464" s="1"/>
      <c r="C464" s="15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3">
      <c r="A465" s="1"/>
      <c r="B465" s="1"/>
      <c r="C465" s="15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3">
      <c r="A466" s="1"/>
      <c r="B466" s="1"/>
      <c r="C466" s="15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3">
      <c r="A467" s="1"/>
      <c r="B467" s="1"/>
      <c r="C467" s="15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3">
      <c r="A468" s="1"/>
      <c r="B468" s="1"/>
      <c r="C468" s="15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3">
      <c r="A469" s="1"/>
      <c r="B469" s="1"/>
      <c r="C469" s="15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3">
      <c r="A470" s="1"/>
      <c r="B470" s="1"/>
      <c r="C470" s="15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3">
      <c r="A471" s="1"/>
      <c r="B471" s="1"/>
      <c r="C471" s="15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3">
      <c r="A472" s="1"/>
      <c r="B472" s="1"/>
      <c r="C472" s="15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3">
      <c r="A473" s="1"/>
      <c r="B473" s="1"/>
      <c r="C473" s="15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3">
      <c r="A474" s="1"/>
      <c r="B474" s="1"/>
      <c r="C474" s="15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3">
      <c r="A475" s="1"/>
      <c r="B475" s="1"/>
      <c r="C475" s="15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3">
      <c r="A476" s="1"/>
      <c r="B476" s="1"/>
      <c r="C476" s="15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3">
      <c r="A477" s="1"/>
      <c r="B477" s="1"/>
      <c r="C477" s="15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3">
      <c r="A478" s="1"/>
      <c r="B478" s="1"/>
      <c r="C478" s="15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3">
      <c r="A479" s="1"/>
      <c r="B479" s="1"/>
      <c r="C479" s="15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3">
      <c r="A480" s="1"/>
      <c r="B480" s="1"/>
      <c r="C480" s="15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3">
      <c r="A481" s="1"/>
      <c r="B481" s="1"/>
      <c r="C481" s="15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3">
      <c r="A482" s="1"/>
      <c r="B482" s="1"/>
      <c r="C482" s="15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3">
      <c r="A483" s="1"/>
      <c r="B483" s="1"/>
      <c r="C483" s="15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3">
      <c r="A484" s="1"/>
      <c r="B484" s="1"/>
      <c r="C484" s="15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3">
      <c r="A485" s="1"/>
      <c r="B485" s="1"/>
      <c r="C485" s="15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3">
      <c r="A486" s="1"/>
      <c r="B486" s="1"/>
      <c r="C486" s="15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3">
      <c r="A487" s="1"/>
      <c r="B487" s="1"/>
      <c r="C487" s="15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3">
      <c r="A488" s="1"/>
      <c r="B488" s="1"/>
      <c r="C488" s="15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3">
      <c r="A489" s="1"/>
      <c r="B489" s="1"/>
      <c r="C489" s="15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3">
      <c r="A490" s="1"/>
      <c r="B490" s="1"/>
      <c r="C490" s="15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3">
      <c r="A491" s="1"/>
      <c r="B491" s="1"/>
      <c r="C491" s="15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3">
      <c r="A492" s="1"/>
      <c r="B492" s="1"/>
      <c r="C492" s="15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3">
      <c r="A493" s="1"/>
      <c r="B493" s="1"/>
      <c r="C493" s="15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3">
      <c r="A494" s="1"/>
      <c r="B494" s="1"/>
      <c r="C494" s="15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3">
      <c r="A495" s="1"/>
      <c r="B495" s="1"/>
      <c r="C495" s="15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3">
      <c r="A496" s="1"/>
      <c r="B496" s="1"/>
      <c r="C496" s="15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3">
      <c r="A497" s="1"/>
      <c r="B497" s="1"/>
      <c r="C497" s="15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3">
      <c r="A498" s="1"/>
      <c r="B498" s="1"/>
      <c r="C498" s="15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3">
      <c r="A499" s="1"/>
      <c r="B499" s="1"/>
      <c r="C499" s="15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3">
      <c r="A500" s="1"/>
      <c r="B500" s="1"/>
      <c r="C500" s="15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3">
      <c r="A501" s="1"/>
      <c r="B501" s="1"/>
      <c r="C501" s="15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3">
      <c r="A502" s="1"/>
      <c r="B502" s="1"/>
      <c r="C502" s="15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3">
      <c r="A503" s="1"/>
      <c r="B503" s="1"/>
      <c r="C503" s="15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3">
      <c r="A504" s="1"/>
      <c r="B504" s="1"/>
      <c r="C504" s="15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3">
      <c r="A505" s="1"/>
      <c r="B505" s="1"/>
      <c r="C505" s="15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3">
      <c r="A506" s="1"/>
      <c r="B506" s="1"/>
      <c r="C506" s="15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3">
      <c r="A507" s="1"/>
      <c r="B507" s="1"/>
      <c r="C507" s="15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3">
      <c r="A508" s="1"/>
      <c r="B508" s="1"/>
      <c r="C508" s="15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3">
      <c r="A509" s="1"/>
      <c r="B509" s="1"/>
      <c r="C509" s="15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3">
      <c r="A510" s="1"/>
      <c r="B510" s="1"/>
      <c r="C510" s="15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3">
      <c r="A511" s="1"/>
      <c r="B511" s="1"/>
      <c r="C511" s="15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3">
      <c r="A512" s="1"/>
      <c r="B512" s="1"/>
      <c r="C512" s="15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3">
      <c r="A513" s="1"/>
      <c r="B513" s="1"/>
      <c r="C513" s="15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3">
      <c r="A514" s="1"/>
      <c r="B514" s="1"/>
      <c r="C514" s="15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3">
      <c r="A515" s="1"/>
      <c r="B515" s="1"/>
      <c r="C515" s="15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3">
      <c r="A516" s="1"/>
      <c r="B516" s="1"/>
      <c r="C516" s="15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3">
      <c r="A517" s="1"/>
      <c r="B517" s="1"/>
      <c r="C517" s="15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3">
      <c r="A518" s="1"/>
      <c r="B518" s="1"/>
      <c r="C518" s="15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3">
      <c r="A519" s="1"/>
      <c r="B519" s="1"/>
      <c r="C519" s="15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3">
      <c r="A520" s="1"/>
      <c r="B520" s="1"/>
      <c r="C520" s="15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3">
      <c r="A521" s="1"/>
      <c r="B521" s="1"/>
      <c r="C521" s="15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3">
      <c r="A522" s="1"/>
      <c r="B522" s="1"/>
      <c r="C522" s="15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3">
      <c r="A523" s="1"/>
      <c r="B523" s="1"/>
      <c r="C523" s="15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3">
      <c r="A524" s="1"/>
      <c r="B524" s="1"/>
      <c r="C524" s="15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3">
      <c r="A525" s="1"/>
      <c r="B525" s="1"/>
      <c r="C525" s="15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3">
      <c r="A526" s="1"/>
      <c r="B526" s="1"/>
      <c r="C526" s="15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3">
      <c r="A527" s="1"/>
      <c r="B527" s="1"/>
      <c r="C527" s="15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3">
      <c r="A528" s="1"/>
      <c r="B528" s="1"/>
      <c r="C528" s="15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3">
      <c r="A529" s="1"/>
      <c r="B529" s="1"/>
      <c r="C529" s="15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3">
      <c r="A530" s="1"/>
      <c r="B530" s="1"/>
      <c r="C530" s="15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3">
      <c r="A531" s="1"/>
      <c r="B531" s="1"/>
      <c r="C531" s="15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3">
      <c r="A532" s="1"/>
      <c r="B532" s="1"/>
      <c r="C532" s="15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3">
      <c r="A533" s="1"/>
      <c r="B533" s="1"/>
      <c r="C533" s="15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3">
      <c r="A534" s="1"/>
      <c r="B534" s="1"/>
      <c r="C534" s="15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3">
      <c r="A535" s="1"/>
      <c r="B535" s="1"/>
      <c r="C535" s="15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3">
      <c r="A536" s="1"/>
      <c r="B536" s="1"/>
      <c r="C536" s="15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3">
      <c r="A537" s="1"/>
      <c r="B537" s="1"/>
      <c r="C537" s="15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3">
      <c r="A538" s="1"/>
      <c r="B538" s="1"/>
      <c r="C538" s="15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3">
      <c r="A539" s="1"/>
      <c r="B539" s="1"/>
      <c r="C539" s="15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3">
      <c r="A540" s="1"/>
      <c r="B540" s="1"/>
      <c r="C540" s="15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3">
      <c r="A541" s="1"/>
      <c r="B541" s="1"/>
      <c r="C541" s="15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3">
      <c r="A542" s="1"/>
      <c r="B542" s="1"/>
      <c r="C542" s="15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3">
      <c r="A543" s="1"/>
      <c r="B543" s="1"/>
      <c r="C543" s="15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3">
      <c r="A544" s="1"/>
      <c r="B544" s="1"/>
      <c r="C544" s="15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3">
      <c r="A545" s="1"/>
      <c r="B545" s="1"/>
      <c r="C545" s="15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3">
      <c r="A546" s="1"/>
      <c r="B546" s="1"/>
      <c r="C546" s="15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3">
      <c r="A547" s="1"/>
      <c r="B547" s="1"/>
      <c r="C547" s="15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3">
      <c r="A548" s="1"/>
      <c r="B548" s="1"/>
      <c r="C548" s="15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3">
      <c r="A549" s="1"/>
      <c r="B549" s="1"/>
      <c r="C549" s="15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3">
      <c r="A550" s="1"/>
      <c r="B550" s="1"/>
      <c r="C550" s="15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3">
      <c r="A551" s="1"/>
      <c r="B551" s="1"/>
      <c r="C551" s="15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3">
      <c r="A552" s="1"/>
      <c r="B552" s="1"/>
      <c r="C552" s="15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3">
      <c r="A553" s="1"/>
      <c r="B553" s="1"/>
      <c r="C553" s="15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3">
      <c r="A554" s="1"/>
      <c r="B554" s="1"/>
      <c r="C554" s="15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3">
      <c r="A555" s="1"/>
      <c r="B555" s="1"/>
      <c r="C555" s="15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3">
      <c r="A556" s="1"/>
      <c r="B556" s="1"/>
      <c r="C556" s="15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3">
      <c r="A557" s="1"/>
      <c r="B557" s="1"/>
      <c r="C557" s="15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3">
      <c r="A558" s="1"/>
      <c r="B558" s="1"/>
      <c r="C558" s="15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3">
      <c r="A559" s="1"/>
      <c r="B559" s="1"/>
      <c r="C559" s="15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3">
      <c r="A560" s="1"/>
      <c r="B560" s="1"/>
      <c r="C560" s="15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3">
      <c r="A561" s="1"/>
      <c r="B561" s="1"/>
      <c r="C561" s="15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3">
      <c r="A562" s="1"/>
      <c r="B562" s="1"/>
      <c r="C562" s="15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3">
      <c r="A563" s="1"/>
      <c r="B563" s="1"/>
      <c r="C563" s="15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3">
      <c r="A564" s="1"/>
      <c r="B564" s="1"/>
      <c r="C564" s="15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3">
      <c r="A565" s="1"/>
      <c r="B565" s="1"/>
      <c r="C565" s="15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3">
      <c r="A566" s="1"/>
      <c r="B566" s="1"/>
      <c r="C566" s="15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3">
      <c r="A567" s="1"/>
      <c r="B567" s="1"/>
      <c r="C567" s="15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3">
      <c r="A568" s="1"/>
      <c r="B568" s="1"/>
      <c r="C568" s="15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3">
      <c r="A569" s="1"/>
      <c r="B569" s="1"/>
      <c r="C569" s="15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3">
      <c r="A570" s="1"/>
      <c r="B570" s="1"/>
      <c r="C570" s="15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3">
      <c r="A571" s="1"/>
      <c r="B571" s="1"/>
      <c r="C571" s="15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3">
      <c r="A572" s="1"/>
      <c r="B572" s="1"/>
      <c r="C572" s="15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3">
      <c r="A573" s="1"/>
      <c r="B573" s="1"/>
      <c r="C573" s="15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3">
      <c r="A574" s="1"/>
      <c r="B574" s="1"/>
      <c r="C574" s="15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3">
      <c r="A575" s="1"/>
      <c r="B575" s="1"/>
      <c r="C575" s="15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3">
      <c r="A576" s="1"/>
      <c r="B576" s="1"/>
      <c r="C576" s="15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3">
      <c r="A577" s="1"/>
      <c r="B577" s="1"/>
      <c r="C577" s="15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3">
      <c r="A578" s="1"/>
      <c r="B578" s="1"/>
      <c r="C578" s="15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3">
      <c r="A579" s="1"/>
      <c r="B579" s="1"/>
      <c r="C579" s="15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3">
      <c r="A580" s="1"/>
      <c r="B580" s="1"/>
      <c r="C580" s="15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3">
      <c r="A581" s="1"/>
      <c r="B581" s="1"/>
      <c r="C581" s="15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3">
      <c r="A582" s="1"/>
      <c r="B582" s="1"/>
      <c r="C582" s="15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3">
      <c r="A583" s="1"/>
      <c r="B583" s="1"/>
      <c r="C583" s="15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3">
      <c r="A584" s="1"/>
      <c r="B584" s="1"/>
      <c r="C584" s="15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3">
      <c r="A585" s="1"/>
      <c r="B585" s="1"/>
      <c r="C585" s="15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3">
      <c r="A586" s="1"/>
      <c r="B586" s="1"/>
      <c r="C586" s="15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3">
      <c r="A587" s="1"/>
      <c r="B587" s="1"/>
      <c r="C587" s="15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3">
      <c r="A588" s="1"/>
      <c r="B588" s="1"/>
      <c r="C588" s="15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3">
      <c r="A589" s="1"/>
      <c r="B589" s="1"/>
      <c r="C589" s="15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3">
      <c r="A590" s="1"/>
      <c r="B590" s="1"/>
      <c r="C590" s="15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3">
      <c r="A591" s="1"/>
      <c r="B591" s="1"/>
      <c r="C591" s="15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3">
      <c r="A592" s="1"/>
      <c r="B592" s="1"/>
      <c r="C592" s="15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3">
      <c r="A593" s="1"/>
      <c r="B593" s="1"/>
      <c r="C593" s="15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3">
      <c r="A594" s="1"/>
      <c r="B594" s="1"/>
      <c r="C594" s="15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3">
      <c r="A595" s="1"/>
      <c r="B595" s="1"/>
      <c r="C595" s="15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3">
      <c r="A596" s="1"/>
      <c r="B596" s="1"/>
      <c r="C596" s="15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3">
      <c r="A597" s="1"/>
      <c r="B597" s="1"/>
      <c r="C597" s="15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3">
      <c r="A598" s="1"/>
      <c r="B598" s="1"/>
      <c r="C598" s="15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3">
      <c r="A599" s="1"/>
      <c r="B599" s="1"/>
      <c r="C599" s="15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3">
      <c r="A600" s="1"/>
      <c r="B600" s="1"/>
      <c r="C600" s="15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3">
      <c r="A601" s="1"/>
      <c r="B601" s="1"/>
      <c r="C601" s="15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3">
      <c r="A602" s="1"/>
      <c r="B602" s="1"/>
      <c r="C602" s="15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3">
      <c r="A603" s="1"/>
      <c r="B603" s="1"/>
      <c r="C603" s="15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3">
      <c r="A604" s="1"/>
      <c r="B604" s="1"/>
      <c r="C604" s="15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3">
      <c r="A605" s="1"/>
      <c r="B605" s="1"/>
      <c r="C605" s="15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3">
      <c r="A606" s="1"/>
      <c r="B606" s="1"/>
      <c r="C606" s="15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3">
      <c r="A607" s="1"/>
      <c r="B607" s="1"/>
      <c r="C607" s="15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3">
      <c r="A608" s="1"/>
      <c r="B608" s="1"/>
      <c r="C608" s="15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3">
      <c r="A609" s="1"/>
      <c r="B609" s="1"/>
      <c r="C609" s="15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3">
      <c r="A610" s="1"/>
      <c r="B610" s="1"/>
      <c r="C610" s="15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3">
      <c r="A611" s="1"/>
      <c r="B611" s="1"/>
      <c r="C611" s="15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3">
      <c r="A612" s="1"/>
      <c r="B612" s="1"/>
      <c r="C612" s="15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3">
      <c r="A613" s="1"/>
      <c r="B613" s="1"/>
      <c r="C613" s="15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3">
      <c r="A614" s="1"/>
      <c r="B614" s="1"/>
      <c r="C614" s="15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3">
      <c r="A615" s="1"/>
      <c r="B615" s="1"/>
      <c r="C615" s="15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3">
      <c r="A616" s="1"/>
      <c r="B616" s="1"/>
      <c r="C616" s="15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3">
      <c r="A617" s="1"/>
      <c r="B617" s="1"/>
      <c r="C617" s="15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3">
      <c r="A618" s="1"/>
      <c r="B618" s="1"/>
      <c r="C618" s="15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3">
      <c r="A619" s="1"/>
      <c r="B619" s="1"/>
      <c r="C619" s="15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3">
      <c r="A620" s="1"/>
      <c r="B620" s="1"/>
      <c r="C620" s="15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3">
      <c r="A621" s="1"/>
      <c r="B621" s="1"/>
      <c r="C621" s="15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3">
      <c r="A622" s="1"/>
      <c r="B622" s="1"/>
      <c r="C622" s="15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3">
      <c r="A623" s="1"/>
      <c r="B623" s="1"/>
      <c r="C623" s="15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3">
      <c r="A624" s="1"/>
      <c r="B624" s="1"/>
      <c r="C624" s="15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3">
      <c r="A625" s="1"/>
      <c r="B625" s="1"/>
      <c r="C625" s="15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3">
      <c r="A626" s="1"/>
      <c r="B626" s="1"/>
      <c r="C626" s="15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3">
      <c r="A627" s="1"/>
      <c r="B627" s="1"/>
      <c r="C627" s="15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3">
      <c r="A628" s="1"/>
      <c r="B628" s="1"/>
      <c r="C628" s="15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3">
      <c r="A629" s="1"/>
      <c r="B629" s="1"/>
      <c r="C629" s="15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3">
      <c r="A630" s="1"/>
      <c r="B630" s="1"/>
      <c r="C630" s="15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3">
      <c r="A631" s="1"/>
      <c r="B631" s="1"/>
      <c r="C631" s="15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3">
      <c r="A632" s="1"/>
      <c r="B632" s="1"/>
      <c r="C632" s="15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3">
      <c r="A633" s="1"/>
      <c r="B633" s="1"/>
      <c r="C633" s="15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3">
      <c r="A634" s="1"/>
      <c r="B634" s="1"/>
      <c r="C634" s="15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3">
      <c r="A635" s="1"/>
      <c r="B635" s="1"/>
      <c r="C635" s="15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3">
      <c r="A636" s="1"/>
      <c r="B636" s="1"/>
      <c r="C636" s="15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3">
      <c r="A637" s="1"/>
      <c r="B637" s="1"/>
      <c r="C637" s="15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3">
      <c r="A638" s="1"/>
      <c r="B638" s="1"/>
      <c r="C638" s="15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3">
      <c r="A639" s="1"/>
      <c r="B639" s="1"/>
      <c r="C639" s="15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3">
      <c r="A640" s="1"/>
      <c r="B640" s="1"/>
      <c r="C640" s="15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3">
      <c r="A641" s="1"/>
      <c r="B641" s="1"/>
      <c r="C641" s="15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3">
      <c r="A642" s="1"/>
      <c r="B642" s="1"/>
      <c r="C642" s="15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3">
      <c r="A643" s="1"/>
      <c r="B643" s="1"/>
      <c r="C643" s="15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3">
      <c r="A644" s="1"/>
      <c r="B644" s="1"/>
      <c r="C644" s="15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3">
      <c r="A645" s="1"/>
      <c r="B645" s="1"/>
      <c r="C645" s="15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3">
      <c r="A646" s="1"/>
      <c r="B646" s="1"/>
      <c r="C646" s="15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3">
      <c r="A647" s="1"/>
      <c r="B647" s="1"/>
      <c r="C647" s="15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3">
      <c r="A648" s="1"/>
      <c r="B648" s="1"/>
      <c r="C648" s="15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3">
      <c r="A649" s="1"/>
      <c r="B649" s="1"/>
      <c r="C649" s="15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3">
      <c r="A650" s="1"/>
      <c r="B650" s="1"/>
      <c r="C650" s="15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3">
      <c r="A651" s="1"/>
      <c r="B651" s="1"/>
      <c r="C651" s="15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3">
      <c r="A652" s="1"/>
      <c r="B652" s="1"/>
      <c r="C652" s="15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3">
      <c r="A653" s="1"/>
      <c r="B653" s="1"/>
      <c r="C653" s="15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3">
      <c r="A654" s="1"/>
      <c r="B654" s="1"/>
      <c r="C654" s="15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3">
      <c r="A655" s="1"/>
      <c r="B655" s="1"/>
      <c r="C655" s="15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3">
      <c r="A656" s="1"/>
      <c r="B656" s="1"/>
      <c r="C656" s="15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3">
      <c r="A657" s="1"/>
      <c r="B657" s="1"/>
      <c r="C657" s="15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3">
      <c r="A658" s="1"/>
      <c r="B658" s="1"/>
      <c r="C658" s="15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3">
      <c r="A659" s="1"/>
      <c r="B659" s="1"/>
      <c r="C659" s="15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3">
      <c r="A660" s="1"/>
      <c r="B660" s="1"/>
      <c r="C660" s="15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3">
      <c r="A661" s="1"/>
      <c r="B661" s="1"/>
      <c r="C661" s="15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3">
      <c r="A662" s="1"/>
      <c r="B662" s="1"/>
      <c r="C662" s="15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3">
      <c r="A663" s="1"/>
      <c r="B663" s="1"/>
      <c r="C663" s="15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3">
      <c r="A664" s="1"/>
      <c r="B664" s="1"/>
      <c r="C664" s="15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3">
      <c r="A665" s="1"/>
      <c r="B665" s="1"/>
      <c r="C665" s="15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3">
      <c r="A666" s="1"/>
      <c r="B666" s="1"/>
      <c r="C666" s="15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3">
      <c r="A667" s="1"/>
      <c r="B667" s="1"/>
      <c r="C667" s="15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3">
      <c r="A668" s="1"/>
      <c r="B668" s="1"/>
      <c r="C668" s="15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3">
      <c r="A669" s="1"/>
      <c r="B669" s="1"/>
      <c r="C669" s="15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3">
      <c r="A670" s="1"/>
      <c r="B670" s="1"/>
      <c r="C670" s="15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3">
      <c r="A671" s="1"/>
      <c r="B671" s="1"/>
      <c r="C671" s="15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3">
      <c r="A672" s="1"/>
      <c r="B672" s="1"/>
      <c r="C672" s="15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3">
      <c r="A673" s="1"/>
      <c r="B673" s="1"/>
      <c r="C673" s="15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3">
      <c r="A674" s="1"/>
      <c r="B674" s="1"/>
      <c r="C674" s="15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3">
      <c r="A675" s="1"/>
      <c r="B675" s="1"/>
      <c r="C675" s="15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3">
      <c r="A676" s="1"/>
      <c r="B676" s="1"/>
      <c r="C676" s="15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3">
      <c r="A677" s="1"/>
      <c r="B677" s="1"/>
      <c r="C677" s="15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3">
      <c r="A678" s="1"/>
      <c r="B678" s="1"/>
      <c r="C678" s="15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3">
      <c r="A679" s="1"/>
      <c r="B679" s="1"/>
      <c r="C679" s="15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3">
      <c r="A680" s="1"/>
      <c r="B680" s="1"/>
      <c r="C680" s="15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3">
      <c r="A681" s="1"/>
      <c r="B681" s="1"/>
      <c r="C681" s="15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3">
      <c r="A682" s="1"/>
      <c r="B682" s="1"/>
      <c r="C682" s="15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3">
      <c r="A683" s="1"/>
      <c r="B683" s="1"/>
      <c r="C683" s="15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3">
      <c r="A684" s="1"/>
      <c r="B684" s="1"/>
      <c r="C684" s="15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3">
      <c r="A685" s="1"/>
      <c r="B685" s="1"/>
      <c r="C685" s="15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3">
      <c r="A686" s="1"/>
      <c r="B686" s="1"/>
      <c r="C686" s="15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3">
      <c r="A687" s="1"/>
      <c r="B687" s="1"/>
      <c r="C687" s="15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3">
      <c r="A688" s="1"/>
      <c r="B688" s="1"/>
      <c r="C688" s="15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3">
      <c r="A689" s="1"/>
      <c r="B689" s="1"/>
      <c r="C689" s="15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3">
      <c r="A690" s="1"/>
      <c r="B690" s="1"/>
      <c r="C690" s="15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3">
      <c r="A691" s="1"/>
      <c r="B691" s="1"/>
      <c r="C691" s="15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3">
      <c r="A692" s="1"/>
      <c r="B692" s="1"/>
      <c r="C692" s="15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3">
      <c r="A693" s="1"/>
      <c r="B693" s="1"/>
      <c r="C693" s="15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3">
      <c r="A694" s="1"/>
      <c r="B694" s="1"/>
      <c r="C694" s="15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3">
      <c r="A695" s="1"/>
      <c r="B695" s="1"/>
      <c r="C695" s="15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3">
      <c r="A696" s="1"/>
      <c r="B696" s="1"/>
      <c r="C696" s="15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3">
      <c r="A697" s="1"/>
      <c r="B697" s="1"/>
      <c r="C697" s="15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3">
      <c r="A698" s="1"/>
      <c r="B698" s="1"/>
      <c r="C698" s="15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3">
      <c r="A699" s="1"/>
      <c r="B699" s="1"/>
      <c r="C699" s="15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3">
      <c r="A700" s="1"/>
      <c r="B700" s="1"/>
      <c r="C700" s="15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3">
      <c r="A701" s="1"/>
      <c r="B701" s="1"/>
      <c r="C701" s="15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3">
      <c r="A702" s="1"/>
      <c r="B702" s="1"/>
      <c r="C702" s="15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3">
      <c r="A703" s="1"/>
      <c r="B703" s="1"/>
      <c r="C703" s="15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3">
      <c r="A704" s="1"/>
      <c r="B704" s="1"/>
      <c r="C704" s="15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3">
      <c r="A705" s="1"/>
      <c r="B705" s="1"/>
      <c r="C705" s="15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3">
      <c r="A706" s="1"/>
      <c r="B706" s="1"/>
      <c r="C706" s="15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3">
      <c r="A707" s="1"/>
      <c r="B707" s="1"/>
      <c r="C707" s="15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3">
      <c r="A708" s="1"/>
      <c r="B708" s="1"/>
      <c r="C708" s="15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3">
      <c r="A709" s="1"/>
      <c r="B709" s="1"/>
      <c r="C709" s="15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3">
      <c r="A710" s="1"/>
      <c r="B710" s="1"/>
      <c r="C710" s="15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3">
      <c r="A711" s="1"/>
      <c r="B711" s="1"/>
      <c r="C711" s="15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3">
      <c r="A712" s="1"/>
      <c r="B712" s="1"/>
      <c r="C712" s="15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3">
      <c r="A713" s="1"/>
      <c r="B713" s="1"/>
      <c r="C713" s="15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3">
      <c r="A714" s="1"/>
      <c r="B714" s="1"/>
      <c r="C714" s="15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3">
      <c r="A715" s="1"/>
      <c r="B715" s="1"/>
      <c r="C715" s="15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3">
      <c r="A716" s="1"/>
      <c r="B716" s="1"/>
      <c r="C716" s="15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3">
      <c r="A717" s="1"/>
      <c r="B717" s="1"/>
      <c r="C717" s="15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3">
      <c r="A718" s="1"/>
      <c r="B718" s="1"/>
      <c r="C718" s="15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3">
      <c r="A719" s="1"/>
      <c r="B719" s="1"/>
      <c r="C719" s="15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3">
      <c r="A720" s="1"/>
      <c r="B720" s="1"/>
      <c r="C720" s="15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3">
      <c r="A721" s="1"/>
      <c r="B721" s="1"/>
      <c r="C721" s="15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3">
      <c r="A722" s="1"/>
      <c r="B722" s="1"/>
      <c r="C722" s="15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3">
      <c r="A723" s="1"/>
      <c r="B723" s="1"/>
      <c r="C723" s="15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3">
      <c r="A724" s="1"/>
      <c r="B724" s="1"/>
      <c r="C724" s="15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3">
      <c r="A725" s="1"/>
      <c r="B725" s="1"/>
      <c r="C725" s="15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3">
      <c r="A726" s="1"/>
      <c r="B726" s="1"/>
      <c r="C726" s="15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3">
      <c r="A727" s="1"/>
      <c r="B727" s="1"/>
      <c r="C727" s="15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3">
      <c r="A728" s="1"/>
      <c r="B728" s="1"/>
      <c r="C728" s="15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3">
      <c r="A729" s="1"/>
      <c r="B729" s="1"/>
      <c r="C729" s="15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3">
      <c r="A730" s="1"/>
      <c r="B730" s="1"/>
      <c r="C730" s="15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3">
      <c r="A731" s="1"/>
      <c r="B731" s="1"/>
      <c r="C731" s="15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3">
      <c r="A732" s="1"/>
      <c r="B732" s="1"/>
      <c r="C732" s="15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3">
      <c r="A733" s="1"/>
      <c r="B733" s="1"/>
      <c r="C733" s="15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3">
      <c r="A734" s="1"/>
      <c r="B734" s="1"/>
      <c r="C734" s="15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3">
      <c r="A735" s="1"/>
      <c r="B735" s="1"/>
      <c r="C735" s="15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3">
      <c r="A736" s="1"/>
      <c r="B736" s="1"/>
      <c r="C736" s="15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3">
      <c r="A737" s="1"/>
      <c r="B737" s="1"/>
      <c r="C737" s="15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3">
      <c r="A738" s="1"/>
      <c r="B738" s="1"/>
      <c r="C738" s="15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3">
      <c r="A739" s="1"/>
      <c r="B739" s="1"/>
      <c r="C739" s="15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3">
      <c r="A740" s="1"/>
      <c r="B740" s="1"/>
      <c r="C740" s="15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3">
      <c r="A741" s="1"/>
      <c r="B741" s="1"/>
      <c r="C741" s="15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3">
      <c r="A742" s="1"/>
      <c r="B742" s="1"/>
      <c r="C742" s="15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3">
      <c r="A743" s="1"/>
      <c r="B743" s="1"/>
      <c r="C743" s="15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3">
      <c r="A744" s="1"/>
      <c r="B744" s="1"/>
      <c r="C744" s="15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3">
      <c r="A745" s="1"/>
      <c r="B745" s="1"/>
      <c r="C745" s="15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3">
      <c r="A746" s="1"/>
      <c r="B746" s="1"/>
      <c r="C746" s="15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3">
      <c r="A747" s="1"/>
      <c r="B747" s="1"/>
      <c r="C747" s="15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3">
      <c r="A748" s="1"/>
      <c r="B748" s="1"/>
      <c r="C748" s="15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3">
      <c r="A749" s="1"/>
      <c r="B749" s="1"/>
      <c r="C749" s="15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3">
      <c r="A750" s="1"/>
      <c r="B750" s="1"/>
      <c r="C750" s="15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3">
      <c r="A751" s="1"/>
      <c r="B751" s="1"/>
      <c r="C751" s="15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3">
      <c r="A752" s="1"/>
      <c r="B752" s="1"/>
      <c r="C752" s="15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3">
      <c r="A753" s="1"/>
      <c r="B753" s="1"/>
      <c r="C753" s="15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3">
      <c r="A754" s="1"/>
      <c r="B754" s="1"/>
      <c r="C754" s="15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3">
      <c r="A755" s="1"/>
      <c r="B755" s="1"/>
      <c r="C755" s="15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3">
      <c r="A756" s="1"/>
      <c r="B756" s="1"/>
      <c r="C756" s="15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3">
      <c r="A757" s="1"/>
      <c r="B757" s="1"/>
      <c r="C757" s="15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3">
      <c r="A758" s="1"/>
      <c r="B758" s="1"/>
      <c r="C758" s="15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3">
      <c r="A759" s="1"/>
      <c r="B759" s="1"/>
      <c r="C759" s="15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3">
      <c r="A760" s="1"/>
      <c r="B760" s="1"/>
      <c r="C760" s="15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3">
      <c r="A761" s="1"/>
      <c r="B761" s="1"/>
      <c r="C761" s="15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3">
      <c r="A762" s="1"/>
      <c r="B762" s="1"/>
      <c r="C762" s="15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3">
      <c r="A763" s="1"/>
      <c r="B763" s="1"/>
      <c r="C763" s="15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3">
      <c r="A764" s="1"/>
      <c r="B764" s="1"/>
      <c r="C764" s="15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3">
      <c r="A765" s="1"/>
      <c r="B765" s="1"/>
      <c r="C765" s="15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3">
      <c r="A766" s="1"/>
      <c r="B766" s="1"/>
      <c r="C766" s="15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3">
      <c r="A767" s="1"/>
      <c r="B767" s="1"/>
      <c r="C767" s="15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3">
      <c r="A768" s="1"/>
      <c r="B768" s="1"/>
      <c r="C768" s="15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3">
      <c r="A769" s="1"/>
      <c r="B769" s="1"/>
      <c r="C769" s="15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3">
      <c r="A770" s="1"/>
      <c r="B770" s="1"/>
      <c r="C770" s="15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3">
      <c r="A771" s="1"/>
      <c r="B771" s="1"/>
      <c r="C771" s="15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3">
      <c r="A772" s="1"/>
      <c r="B772" s="1"/>
      <c r="C772" s="15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3">
      <c r="A773" s="1"/>
      <c r="B773" s="1"/>
      <c r="C773" s="15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3">
      <c r="A774" s="1"/>
      <c r="B774" s="1"/>
      <c r="C774" s="15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3">
      <c r="A775" s="1"/>
      <c r="B775" s="1"/>
      <c r="C775" s="15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3">
      <c r="A776" s="1"/>
      <c r="B776" s="1"/>
      <c r="C776" s="15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3">
      <c r="A777" s="1"/>
      <c r="B777" s="1"/>
      <c r="C777" s="15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3">
      <c r="A778" s="1"/>
      <c r="B778" s="1"/>
      <c r="C778" s="15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3">
      <c r="A779" s="1"/>
      <c r="B779" s="1"/>
      <c r="C779" s="15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3">
      <c r="A780" s="1"/>
      <c r="B780" s="1"/>
      <c r="C780" s="15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3">
      <c r="A781" s="1"/>
      <c r="B781" s="1"/>
      <c r="C781" s="15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3">
      <c r="A782" s="1"/>
      <c r="B782" s="1"/>
      <c r="C782" s="15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3">
      <c r="A783" s="1"/>
      <c r="B783" s="1"/>
      <c r="C783" s="15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3">
      <c r="A784" s="1"/>
      <c r="B784" s="1"/>
      <c r="C784" s="15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3">
      <c r="A785" s="1"/>
      <c r="B785" s="1"/>
      <c r="C785" s="15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3">
      <c r="A786" s="1"/>
      <c r="B786" s="1"/>
      <c r="C786" s="15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3">
      <c r="A787" s="1"/>
      <c r="B787" s="1"/>
      <c r="C787" s="15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3">
      <c r="A788" s="1"/>
      <c r="B788" s="1"/>
      <c r="C788" s="15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3">
      <c r="A789" s="1"/>
      <c r="B789" s="1"/>
      <c r="C789" s="15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3">
      <c r="A790" s="1"/>
      <c r="B790" s="1"/>
      <c r="C790" s="15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3">
      <c r="A791" s="1"/>
      <c r="B791" s="1"/>
      <c r="C791" s="15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3">
      <c r="A792" s="1"/>
      <c r="B792" s="1"/>
      <c r="C792" s="15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3">
      <c r="A793" s="1"/>
      <c r="B793" s="1"/>
      <c r="C793" s="15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3">
      <c r="A794" s="1"/>
      <c r="B794" s="1"/>
      <c r="C794" s="15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3">
      <c r="A795" s="1"/>
      <c r="B795" s="1"/>
      <c r="C795" s="15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3">
      <c r="A796" s="1"/>
      <c r="B796" s="1"/>
      <c r="C796" s="15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3">
      <c r="A797" s="1"/>
      <c r="B797" s="1"/>
      <c r="C797" s="15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3">
      <c r="A798" s="1"/>
      <c r="B798" s="1"/>
      <c r="C798" s="15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3">
      <c r="A799" s="1"/>
      <c r="B799" s="1"/>
      <c r="C799" s="15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3">
      <c r="A800" s="1"/>
      <c r="B800" s="1"/>
      <c r="C800" s="15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3">
      <c r="A801" s="1"/>
      <c r="B801" s="1"/>
      <c r="C801" s="15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3">
      <c r="A802" s="1"/>
      <c r="B802" s="1"/>
      <c r="C802" s="15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3">
      <c r="A803" s="1"/>
      <c r="B803" s="1"/>
      <c r="C803" s="15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3">
      <c r="A804" s="1"/>
      <c r="B804" s="1"/>
      <c r="C804" s="15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3">
      <c r="A805" s="1"/>
      <c r="B805" s="1"/>
      <c r="C805" s="15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3">
      <c r="A806" s="1"/>
      <c r="B806" s="1"/>
      <c r="C806" s="15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3">
      <c r="A807" s="1"/>
      <c r="B807" s="1"/>
      <c r="C807" s="15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3">
      <c r="A808" s="1"/>
      <c r="B808" s="1"/>
      <c r="C808" s="15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3">
      <c r="A809" s="1"/>
      <c r="B809" s="1"/>
      <c r="C809" s="15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3">
      <c r="A810" s="1"/>
      <c r="B810" s="1"/>
      <c r="C810" s="15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3">
      <c r="A811" s="1"/>
      <c r="B811" s="1"/>
      <c r="C811" s="15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3">
      <c r="A812" s="1"/>
      <c r="B812" s="1"/>
      <c r="C812" s="15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3">
      <c r="A813" s="1"/>
      <c r="B813" s="1"/>
      <c r="C813" s="15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3">
      <c r="A814" s="1"/>
      <c r="B814" s="1"/>
      <c r="C814" s="15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3">
      <c r="A815" s="1"/>
      <c r="B815" s="1"/>
      <c r="C815" s="15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3">
      <c r="A816" s="1"/>
      <c r="B816" s="1"/>
      <c r="C816" s="15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3">
      <c r="A817" s="1"/>
      <c r="B817" s="1"/>
      <c r="C817" s="15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3">
      <c r="A818" s="1"/>
      <c r="B818" s="1"/>
      <c r="C818" s="15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3">
      <c r="A819" s="1"/>
      <c r="B819" s="1"/>
      <c r="C819" s="15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3">
      <c r="A820" s="1"/>
      <c r="B820" s="1"/>
      <c r="C820" s="15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3">
      <c r="A821" s="1"/>
      <c r="B821" s="1"/>
      <c r="C821" s="15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3">
      <c r="A822" s="1"/>
      <c r="B822" s="1"/>
      <c r="C822" s="15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3">
      <c r="A823" s="1"/>
      <c r="B823" s="1"/>
      <c r="C823" s="15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3">
      <c r="A824" s="1"/>
      <c r="B824" s="1"/>
      <c r="C824" s="15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3">
      <c r="A825" s="1"/>
      <c r="B825" s="1"/>
      <c r="C825" s="15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3">
      <c r="A826" s="1"/>
      <c r="B826" s="1"/>
      <c r="C826" s="15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3">
      <c r="A827" s="1"/>
      <c r="B827" s="1"/>
      <c r="C827" s="15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3">
      <c r="A828" s="1"/>
      <c r="B828" s="1"/>
      <c r="C828" s="15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3">
      <c r="A829" s="1"/>
      <c r="B829" s="1"/>
      <c r="C829" s="15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3">
      <c r="A830" s="1"/>
      <c r="B830" s="1"/>
      <c r="C830" s="15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3">
      <c r="A831" s="1"/>
      <c r="B831" s="1"/>
      <c r="C831" s="15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3">
      <c r="A832" s="1"/>
      <c r="B832" s="1"/>
      <c r="C832" s="15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3">
      <c r="A833" s="1"/>
      <c r="B833" s="1"/>
      <c r="C833" s="15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3">
      <c r="A834" s="1"/>
      <c r="B834" s="1"/>
      <c r="C834" s="15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3">
      <c r="A835" s="1"/>
      <c r="B835" s="1"/>
      <c r="C835" s="15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3">
      <c r="A836" s="1"/>
      <c r="B836" s="1"/>
      <c r="C836" s="15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3">
      <c r="A837" s="1"/>
      <c r="B837" s="1"/>
      <c r="C837" s="15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3">
      <c r="A838" s="1"/>
      <c r="B838" s="1"/>
      <c r="C838" s="15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3">
      <c r="A839" s="1"/>
      <c r="B839" s="1"/>
      <c r="C839" s="15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3">
      <c r="A840" s="1"/>
      <c r="B840" s="1"/>
      <c r="C840" s="15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3">
      <c r="A841" s="1"/>
      <c r="B841" s="1"/>
      <c r="C841" s="15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3">
      <c r="A842" s="1"/>
      <c r="B842" s="1"/>
      <c r="C842" s="15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3">
      <c r="A843" s="1"/>
      <c r="B843" s="1"/>
      <c r="C843" s="15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3">
      <c r="A844" s="1"/>
      <c r="B844" s="1"/>
      <c r="C844" s="15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3">
      <c r="A845" s="1"/>
      <c r="B845" s="1"/>
      <c r="C845" s="15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3">
      <c r="A846" s="1"/>
      <c r="B846" s="1"/>
      <c r="C846" s="15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3">
      <c r="A847" s="1"/>
      <c r="B847" s="1"/>
      <c r="C847" s="15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3">
      <c r="A848" s="1"/>
      <c r="B848" s="1"/>
      <c r="C848" s="15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3">
      <c r="A849" s="1"/>
      <c r="B849" s="1"/>
      <c r="C849" s="15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3">
      <c r="A850" s="1"/>
      <c r="B850" s="1"/>
      <c r="C850" s="15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3">
      <c r="A851" s="1"/>
      <c r="B851" s="1"/>
      <c r="C851" s="15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3">
      <c r="A852" s="1"/>
      <c r="B852" s="1"/>
      <c r="C852" s="15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3">
      <c r="A853" s="1"/>
      <c r="B853" s="1"/>
      <c r="C853" s="15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3">
      <c r="A854" s="1"/>
      <c r="B854" s="1"/>
      <c r="C854" s="15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3">
      <c r="A855" s="1"/>
      <c r="B855" s="1"/>
      <c r="C855" s="15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3">
      <c r="A856" s="1"/>
      <c r="B856" s="1"/>
      <c r="C856" s="15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3">
      <c r="A857" s="1"/>
      <c r="B857" s="1"/>
      <c r="C857" s="15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3">
      <c r="A858" s="1"/>
      <c r="B858" s="1"/>
      <c r="C858" s="15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3">
      <c r="A859" s="1"/>
      <c r="B859" s="1"/>
      <c r="C859" s="15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3">
      <c r="A860" s="1"/>
      <c r="B860" s="1"/>
      <c r="C860" s="15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3">
      <c r="A861" s="1"/>
      <c r="B861" s="1"/>
      <c r="C861" s="15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3">
      <c r="A862" s="1"/>
      <c r="B862" s="1"/>
      <c r="C862" s="15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3">
      <c r="A863" s="1"/>
      <c r="B863" s="1"/>
      <c r="C863" s="15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3">
      <c r="A864" s="1"/>
      <c r="B864" s="1"/>
      <c r="C864" s="15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3">
      <c r="A865" s="1"/>
      <c r="B865" s="1"/>
      <c r="C865" s="15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3">
      <c r="A866" s="1"/>
      <c r="B866" s="1"/>
      <c r="C866" s="15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3">
      <c r="A867" s="1"/>
      <c r="B867" s="1"/>
      <c r="C867" s="15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3">
      <c r="A868" s="1"/>
      <c r="B868" s="1"/>
      <c r="C868" s="15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3">
      <c r="A869" s="1"/>
      <c r="B869" s="1"/>
      <c r="C869" s="15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3">
      <c r="A870" s="1"/>
      <c r="B870" s="1"/>
      <c r="C870" s="15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3">
      <c r="A871" s="1"/>
      <c r="B871" s="1"/>
      <c r="C871" s="15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3">
      <c r="A872" s="1"/>
      <c r="B872" s="1"/>
      <c r="C872" s="15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3">
      <c r="A873" s="1"/>
      <c r="B873" s="1"/>
      <c r="C873" s="15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3">
      <c r="A874" s="1"/>
      <c r="B874" s="1"/>
      <c r="C874" s="15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3">
      <c r="A875" s="1"/>
      <c r="B875" s="1"/>
      <c r="C875" s="15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3">
      <c r="A876" s="1"/>
      <c r="B876" s="1"/>
      <c r="C876" s="15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3">
      <c r="A877" s="1"/>
      <c r="B877" s="1"/>
      <c r="C877" s="15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3">
      <c r="A878" s="1"/>
      <c r="B878" s="1"/>
      <c r="C878" s="15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3">
      <c r="A879" s="1"/>
      <c r="B879" s="1"/>
      <c r="C879" s="15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3">
      <c r="A880" s="1"/>
      <c r="B880" s="1"/>
      <c r="C880" s="15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3">
      <c r="A881" s="1"/>
      <c r="B881" s="1"/>
      <c r="C881" s="15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3">
      <c r="A882" s="1"/>
      <c r="B882" s="1"/>
      <c r="C882" s="15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3">
      <c r="A883" s="1"/>
      <c r="B883" s="1"/>
      <c r="C883" s="15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3">
      <c r="A884" s="1"/>
      <c r="B884" s="1"/>
      <c r="C884" s="15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3">
      <c r="A885" s="1"/>
      <c r="B885" s="1"/>
      <c r="C885" s="15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3">
      <c r="A886" s="1"/>
      <c r="B886" s="1"/>
      <c r="C886" s="15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3">
      <c r="A887" s="1"/>
      <c r="B887" s="1"/>
      <c r="C887" s="15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3">
      <c r="A888" s="1"/>
      <c r="B888" s="1"/>
      <c r="C888" s="15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3">
      <c r="A889" s="1"/>
      <c r="B889" s="1"/>
      <c r="C889" s="15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3">
      <c r="A890" s="1"/>
      <c r="B890" s="1"/>
      <c r="C890" s="15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3">
      <c r="A891" s="1"/>
      <c r="B891" s="1"/>
      <c r="C891" s="15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3">
      <c r="A892" s="1"/>
      <c r="B892" s="1"/>
      <c r="C892" s="15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3">
      <c r="A893" s="1"/>
      <c r="B893" s="1"/>
      <c r="C893" s="15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3">
      <c r="A894" s="1"/>
      <c r="B894" s="1"/>
      <c r="C894" s="15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3">
      <c r="A895" s="1"/>
      <c r="B895" s="1"/>
      <c r="C895" s="15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3">
      <c r="A896" s="1"/>
      <c r="B896" s="1"/>
      <c r="C896" s="15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3">
      <c r="A897" s="1"/>
      <c r="B897" s="1"/>
      <c r="C897" s="15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3">
      <c r="A898" s="1"/>
      <c r="B898" s="1"/>
      <c r="C898" s="15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3">
      <c r="A899" s="1"/>
      <c r="B899" s="1"/>
      <c r="C899" s="15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3">
      <c r="A900" s="1"/>
      <c r="B900" s="1"/>
      <c r="C900" s="15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3">
      <c r="A901" s="1"/>
      <c r="B901" s="1"/>
      <c r="C901" s="15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3">
      <c r="A902" s="1"/>
      <c r="B902" s="1"/>
      <c r="C902" s="15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3">
      <c r="A903" s="1"/>
      <c r="B903" s="1"/>
      <c r="C903" s="15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3">
      <c r="A904" s="1"/>
      <c r="B904" s="1"/>
      <c r="C904" s="15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3">
      <c r="A905" s="1"/>
      <c r="B905" s="1"/>
      <c r="C905" s="15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3">
      <c r="A906" s="1"/>
      <c r="B906" s="1"/>
      <c r="C906" s="15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3">
      <c r="A907" s="1"/>
      <c r="B907" s="1"/>
      <c r="C907" s="15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3">
      <c r="A908" s="1"/>
      <c r="B908" s="1"/>
      <c r="C908" s="15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3">
      <c r="A909" s="1"/>
      <c r="B909" s="1"/>
      <c r="C909" s="15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3">
      <c r="A910" s="1"/>
      <c r="B910" s="1"/>
      <c r="C910" s="15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3">
      <c r="A911" s="1"/>
      <c r="B911" s="1"/>
      <c r="C911" s="15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3">
      <c r="A912" s="1"/>
      <c r="B912" s="1"/>
      <c r="C912" s="15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3">
      <c r="A913" s="1"/>
      <c r="B913" s="1"/>
      <c r="C913" s="15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3">
      <c r="A914" s="1"/>
      <c r="B914" s="1"/>
      <c r="C914" s="15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3">
      <c r="A915" s="1"/>
      <c r="B915" s="1"/>
      <c r="C915" s="15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3">
      <c r="A916" s="1"/>
      <c r="B916" s="1"/>
      <c r="C916" s="15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3">
      <c r="A917" s="1"/>
      <c r="B917" s="1"/>
      <c r="C917" s="15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3">
      <c r="A918" s="1"/>
      <c r="B918" s="1"/>
      <c r="C918" s="15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3">
      <c r="A919" s="1"/>
      <c r="B919" s="1"/>
      <c r="C919" s="15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3">
      <c r="A920" s="1"/>
      <c r="B920" s="1"/>
      <c r="C920" s="15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3">
      <c r="A921" s="1"/>
      <c r="B921" s="1"/>
      <c r="C921" s="15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3">
      <c r="A922" s="1"/>
      <c r="B922" s="1"/>
      <c r="C922" s="15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3">
      <c r="A923" s="1"/>
      <c r="B923" s="1"/>
      <c r="C923" s="15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3">
      <c r="A924" s="1"/>
      <c r="B924" s="1"/>
      <c r="C924" s="15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3">
      <c r="A925" s="1"/>
      <c r="B925" s="1"/>
      <c r="C925" s="15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3">
      <c r="A926" s="1"/>
      <c r="B926" s="1"/>
      <c r="C926" s="15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3">
      <c r="A927" s="1"/>
      <c r="B927" s="1"/>
      <c r="C927" s="15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3">
      <c r="A928" s="1"/>
      <c r="B928" s="1"/>
      <c r="C928" s="15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3">
      <c r="A929" s="1"/>
      <c r="B929" s="1"/>
      <c r="C929" s="15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3">
      <c r="A930" s="1"/>
      <c r="B930" s="1"/>
      <c r="C930" s="15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3">
      <c r="A931" s="1"/>
      <c r="B931" s="1"/>
      <c r="C931" s="15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3">
      <c r="A932" s="1"/>
      <c r="B932" s="1"/>
      <c r="C932" s="15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3">
      <c r="A933" s="1"/>
      <c r="B933" s="1"/>
      <c r="C933" s="15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3">
      <c r="A934" s="1"/>
      <c r="B934" s="1"/>
      <c r="C934" s="15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3">
      <c r="A935" s="1"/>
      <c r="B935" s="1"/>
      <c r="C935" s="15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3">
      <c r="A936" s="1"/>
      <c r="B936" s="1"/>
      <c r="C936" s="15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3">
      <c r="A937" s="1"/>
      <c r="B937" s="1"/>
      <c r="C937" s="15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3">
      <c r="A938" s="1"/>
      <c r="B938" s="1"/>
      <c r="C938" s="15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3">
      <c r="A939" s="1"/>
      <c r="B939" s="1"/>
      <c r="C939" s="15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3">
      <c r="A940" s="1"/>
      <c r="B940" s="1"/>
      <c r="C940" s="15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3">
      <c r="A941" s="1"/>
      <c r="B941" s="1"/>
      <c r="C941" s="15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3">
      <c r="A942" s="1"/>
      <c r="B942" s="1"/>
      <c r="C942" s="15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3">
      <c r="A943" s="1"/>
      <c r="B943" s="1"/>
      <c r="C943" s="15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3">
      <c r="A944" s="1"/>
      <c r="B944" s="1"/>
      <c r="C944" s="15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3">
      <c r="A945" s="1"/>
      <c r="B945" s="1"/>
      <c r="C945" s="15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3">
      <c r="A946" s="1"/>
      <c r="B946" s="1"/>
      <c r="C946" s="15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3">
      <c r="A947" s="1"/>
      <c r="B947" s="1"/>
      <c r="C947" s="15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3">
      <c r="A948" s="1"/>
      <c r="B948" s="1"/>
      <c r="C948" s="15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3">
      <c r="A949" s="1"/>
      <c r="B949" s="1"/>
      <c r="C949" s="15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3">
      <c r="A950" s="1"/>
      <c r="B950" s="1"/>
      <c r="C950" s="15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3">
      <c r="A951" s="1"/>
      <c r="B951" s="1"/>
      <c r="C951" s="15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3">
      <c r="A952" s="1"/>
      <c r="B952" s="1"/>
      <c r="C952" s="15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3">
      <c r="A953" s="1"/>
      <c r="B953" s="1"/>
      <c r="C953" s="15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3">
      <c r="A954" s="1"/>
      <c r="B954" s="1"/>
      <c r="C954" s="15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3">
      <c r="A955" s="1"/>
      <c r="B955" s="1"/>
      <c r="C955" s="15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3">
      <c r="A956" s="1"/>
      <c r="B956" s="1"/>
      <c r="C956" s="15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3">
      <c r="A957" s="1"/>
      <c r="B957" s="1"/>
      <c r="C957" s="15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3">
      <c r="A958" s="1"/>
      <c r="B958" s="1"/>
      <c r="C958" s="15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3">
      <c r="A959" s="1"/>
      <c r="B959" s="1"/>
      <c r="C959" s="15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3">
      <c r="A960" s="1"/>
      <c r="B960" s="1"/>
      <c r="C960" s="15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3">
      <c r="A961" s="1"/>
      <c r="B961" s="1"/>
      <c r="C961" s="15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3">
      <c r="A962" s="1"/>
      <c r="B962" s="1"/>
      <c r="C962" s="15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3">
      <c r="A963" s="1"/>
      <c r="B963" s="1"/>
      <c r="C963" s="15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3">
      <c r="A964" s="1"/>
      <c r="B964" s="1"/>
      <c r="C964" s="15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3">
      <c r="A965" s="1"/>
      <c r="B965" s="1"/>
      <c r="C965" s="15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3">
      <c r="A966" s="1"/>
      <c r="B966" s="1"/>
      <c r="C966" s="15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3">
      <c r="A967" s="1"/>
      <c r="B967" s="1"/>
      <c r="C967" s="15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3">
      <c r="A968" s="1"/>
      <c r="B968" s="1"/>
      <c r="C968" s="15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3">
      <c r="A969" s="1"/>
      <c r="B969" s="1"/>
      <c r="C969" s="15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3">
      <c r="A970" s="1"/>
      <c r="B970" s="1"/>
      <c r="C970" s="15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3">
      <c r="A971" s="1"/>
      <c r="B971" s="1"/>
      <c r="C971" s="15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3">
      <c r="A972" s="1"/>
      <c r="B972" s="1"/>
      <c r="C972" s="15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3">
      <c r="A973" s="1"/>
      <c r="B973" s="1"/>
      <c r="C973" s="15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3">
      <c r="A974" s="1"/>
      <c r="B974" s="1"/>
      <c r="C974" s="15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3">
      <c r="A975" s="1"/>
      <c r="B975" s="1"/>
      <c r="C975" s="15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3">
      <c r="A976" s="1"/>
      <c r="B976" s="1"/>
      <c r="C976" s="15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3">
      <c r="A977" s="1"/>
      <c r="B977" s="1"/>
      <c r="C977" s="15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3">
      <c r="A978" s="1"/>
      <c r="B978" s="1"/>
      <c r="C978" s="15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3">
      <c r="A979" s="1"/>
      <c r="B979" s="1"/>
      <c r="C979" s="15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3">
      <c r="A980" s="1"/>
      <c r="B980" s="1"/>
      <c r="C980" s="15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3">
      <c r="A981" s="1"/>
      <c r="B981" s="1"/>
      <c r="C981" s="15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3">
      <c r="A982" s="1"/>
      <c r="B982" s="1"/>
      <c r="C982" s="15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3">
      <c r="A983" s="1"/>
      <c r="B983" s="1"/>
      <c r="C983" s="15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3">
      <c r="A984" s="1"/>
      <c r="B984" s="1"/>
      <c r="C984" s="15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3">
      <c r="A985" s="1"/>
      <c r="B985" s="1"/>
      <c r="C985" s="15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3">
      <c r="A986" s="1"/>
      <c r="B986" s="1"/>
      <c r="C986" s="15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3">
      <c r="A987" s="1"/>
      <c r="B987" s="1"/>
      <c r="C987" s="15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3">
      <c r="A988" s="1"/>
      <c r="B988" s="1"/>
      <c r="C988" s="15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3">
      <c r="A989" s="1"/>
      <c r="B989" s="1"/>
      <c r="C989" s="15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3">
      <c r="A990" s="1"/>
      <c r="B990" s="1"/>
      <c r="C990" s="15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3">
      <c r="A991" s="1"/>
      <c r="B991" s="1"/>
      <c r="C991" s="15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3">
      <c r="A992" s="1"/>
      <c r="B992" s="1"/>
      <c r="C992" s="15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3">
      <c r="A993" s="1"/>
      <c r="B993" s="1"/>
      <c r="C993" s="15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3">
      <c r="A994" s="1"/>
      <c r="B994" s="1"/>
      <c r="C994" s="15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3">
      <c r="A995" s="1"/>
      <c r="B995" s="1"/>
      <c r="C995" s="15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3">
      <c r="A996" s="1"/>
      <c r="B996" s="1"/>
      <c r="C996" s="15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3">
      <c r="A997" s="1"/>
      <c r="B997" s="1"/>
      <c r="C997" s="15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3">
      <c r="A998" s="1"/>
      <c r="B998" s="1"/>
      <c r="C998" s="15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3">
      <c r="A999" s="1"/>
      <c r="B999" s="1"/>
      <c r="C999" s="15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printOptions horizontalCentered="1"/>
  <pageMargins left="0.19685039370078741" right="0.19685039370078741" top="0.39370078740157483" bottom="0.59055118110236227" header="0" footer="0"/>
  <pageSetup paperSize="9" fitToHeight="0" orientation="portrait"/>
  <headerFooter>
    <oddFooter>&amp;CPage &amp;P /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Romany Majdi</dc:creator>
  <cp:lastModifiedBy>feras khouri</cp:lastModifiedBy>
  <dcterms:created xsi:type="dcterms:W3CDTF">2026-04-26T13:55:03Z</dcterms:created>
  <dcterms:modified xsi:type="dcterms:W3CDTF">2026-05-04T11:47:34Z</dcterms:modified>
</cp:coreProperties>
</file>